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yan\Google Drive\West Ada\"/>
    </mc:Choice>
  </mc:AlternateContent>
  <bookViews>
    <workbookView xWindow="0" yWindow="0" windowWidth="30720" windowHeight="13380" activeTab="1"/>
  </bookViews>
  <sheets>
    <sheet name="Current High School Boundries" sheetId="2" r:id="rId1"/>
    <sheet name="Purposed High School Boundries" sheetId="5" r:id="rId2"/>
  </sheets>
  <functionGroups builtInGroupCount="18"/>
  <definedNames>
    <definedName name="_xlnm.Print_Area" localSheetId="0">'Current High School Boundries'!$A$1:$Y$30</definedName>
    <definedName name="_xlnm.Print_Area" localSheetId="1">'Purposed High School Boundries'!$A$1:$Y$30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7" i="2" l="1"/>
  <c r="Y6" i="2"/>
  <c r="Y5" i="2"/>
  <c r="Y4" i="2"/>
  <c r="Y3" i="2"/>
  <c r="U7" i="5"/>
  <c r="U4" i="5"/>
  <c r="U5" i="5"/>
  <c r="U3" i="5"/>
  <c r="U6" i="5"/>
  <c r="U5" i="2"/>
  <c r="U6" i="2"/>
  <c r="U7" i="2"/>
  <c r="U4" i="2"/>
  <c r="U3" i="2"/>
  <c r="W6" i="5" l="1"/>
  <c r="W3" i="5"/>
  <c r="W5" i="5"/>
  <c r="W4" i="5"/>
  <c r="W7" i="5"/>
  <c r="X3" i="5"/>
  <c r="Y3" i="5" s="1"/>
  <c r="X7" i="5"/>
  <c r="Y7" i="5" s="1"/>
  <c r="X4" i="5"/>
  <c r="Y4" i="5" s="1"/>
  <c r="X6" i="5"/>
  <c r="Y6" i="5" s="1"/>
  <c r="X5" i="5"/>
  <c r="Y5" i="5" s="1"/>
  <c r="X3" i="2"/>
  <c r="W3" i="2"/>
  <c r="X4" i="2"/>
  <c r="W4" i="2"/>
  <c r="X7" i="2"/>
  <c r="W7" i="2"/>
  <c r="X6" i="2"/>
  <c r="W6" i="2"/>
  <c r="W5" i="2"/>
  <c r="X5" i="2"/>
</calcChain>
</file>

<file path=xl/sharedStrings.xml><?xml version="1.0" encoding="utf-8"?>
<sst xmlns="http://schemas.openxmlformats.org/spreadsheetml/2006/main" count="24" uniqueCount="13">
  <si>
    <t>CHS</t>
  </si>
  <si>
    <t>EHS</t>
  </si>
  <si>
    <t>MHS</t>
  </si>
  <si>
    <t>MVHS</t>
  </si>
  <si>
    <t>RMHS</t>
  </si>
  <si>
    <t>School</t>
  </si>
  <si>
    <t>Enrollment</t>
  </si>
  <si>
    <t>Capacity</t>
  </si>
  <si>
    <t>Overage</t>
  </si>
  <si>
    <t>Under</t>
  </si>
  <si>
    <t>Overage %</t>
  </si>
  <si>
    <t>Current High School Boundries</t>
  </si>
  <si>
    <t>Proposed High School Boundries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</si>
</sst>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6" borderId="2" xfId="0" applyFill="1" applyBorder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9" fontId="0" fillId="0" borderId="4" xfId="1" applyFont="1" applyBorder="1" applyAlignment="1">
      <alignment horizontal="center" vertical="center"/>
    </xf>
    <xf numFmtId="9" fontId="0" fillId="0" borderId="7" xfId="1" applyFont="1" applyBorder="1" applyAlignment="1">
      <alignment horizontal="center" vertical="center"/>
    </xf>
    <xf numFmtId="9" fontId="0" fillId="0" borderId="6" xfId="1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600075</xdr:colOff>
      <xdr:row>2</xdr:row>
      <xdr:rowOff>0</xdr:rowOff>
    </xdr:from>
    <xdr:to>
      <xdr:col>14</xdr:col>
      <xdr:colOff>0</xdr:colOff>
      <xdr:row>30</xdr:row>
      <xdr:rowOff>19050</xdr:rowOff>
    </xdr:to>
    <xdr:cxnSp macro="">
      <xdr:nvCxnSpPr>
        <xdr:cNvPr id="2" name="Straight Connector 1"/>
        <xdr:cNvCxnSpPr/>
      </xdr:nvCxnSpPr>
      <xdr:spPr>
        <a:xfrm flipH="1">
          <a:off x="5086350" y="381000"/>
          <a:ext cx="9525" cy="8286750"/>
        </a:xfrm>
        <a:prstGeom prst="line">
          <a:avLst/>
        </a:prstGeom>
        <a:ln w="57150">
          <a:solidFill>
            <a:schemeClr val="accent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12</xdr:row>
      <xdr:rowOff>590550</xdr:rowOff>
    </xdr:from>
    <xdr:to>
      <xdr:col>20</xdr:col>
      <xdr:colOff>28575</xdr:colOff>
      <xdr:row>14</xdr:row>
      <xdr:rowOff>19050</xdr:rowOff>
    </xdr:to>
    <xdr:grpSp>
      <xdr:nvGrpSpPr>
        <xdr:cNvPr id="3" name="Group 2"/>
        <xdr:cNvGrpSpPr/>
      </xdr:nvGrpSpPr>
      <xdr:grpSpPr>
        <a:xfrm>
          <a:off x="269473" y="4699217"/>
          <a:ext cx="8715132" cy="330782"/>
          <a:chOff x="38100" y="4248150"/>
          <a:chExt cx="7915275" cy="342900"/>
        </a:xfrm>
      </xdr:grpSpPr>
      <xdr:cxnSp macro="">
        <xdr:nvCxnSpPr>
          <xdr:cNvPr id="4" name="Straight Connector 3"/>
          <xdr:cNvCxnSpPr/>
        </xdr:nvCxnSpPr>
        <xdr:spPr>
          <a:xfrm>
            <a:off x="38100" y="4248150"/>
            <a:ext cx="1819275" cy="323850"/>
          </a:xfrm>
          <a:prstGeom prst="line">
            <a:avLst/>
          </a:prstGeom>
          <a:ln w="5715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/>
          <xdr:cNvCxnSpPr/>
        </xdr:nvCxnSpPr>
        <xdr:spPr>
          <a:xfrm>
            <a:off x="1819275" y="4572000"/>
            <a:ext cx="6134100" cy="19050"/>
          </a:xfrm>
          <a:prstGeom prst="line">
            <a:avLst/>
          </a:prstGeom>
          <a:ln w="5715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295275</xdr:colOff>
      <xdr:row>1</xdr:row>
      <xdr:rowOff>190500</xdr:rowOff>
    </xdr:from>
    <xdr:to>
      <xdr:col>11</xdr:col>
      <xdr:colOff>0</xdr:colOff>
      <xdr:row>30</xdr:row>
      <xdr:rowOff>9525</xdr:rowOff>
    </xdr:to>
    <xdr:cxnSp macro="">
      <xdr:nvCxnSpPr>
        <xdr:cNvPr id="6" name="Straight Connector 5"/>
        <xdr:cNvCxnSpPr/>
      </xdr:nvCxnSpPr>
      <xdr:spPr>
        <a:xfrm flipH="1">
          <a:off x="3867150" y="381000"/>
          <a:ext cx="9525" cy="8277225"/>
        </a:xfrm>
        <a:prstGeom prst="line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</xdr:row>
      <xdr:rowOff>600075</xdr:rowOff>
    </xdr:from>
    <xdr:to>
      <xdr:col>14</xdr:col>
      <xdr:colOff>19050</xdr:colOff>
      <xdr:row>10</xdr:row>
      <xdr:rowOff>19050</xdr:rowOff>
    </xdr:to>
    <xdr:grpSp>
      <xdr:nvGrpSpPr>
        <xdr:cNvPr id="31" name="Group 30"/>
        <xdr:cNvGrpSpPr/>
      </xdr:nvGrpSpPr>
      <xdr:grpSpPr>
        <a:xfrm>
          <a:off x="1509010" y="1785279"/>
          <a:ext cx="3858818" cy="1775684"/>
          <a:chOff x="1438275" y="1590675"/>
          <a:chExt cx="3676650" cy="1857375"/>
        </a:xfrm>
      </xdr:grpSpPr>
      <xdr:cxnSp macro="">
        <xdr:nvCxnSpPr>
          <xdr:cNvPr id="11" name="Straight Connector 10"/>
          <xdr:cNvCxnSpPr/>
        </xdr:nvCxnSpPr>
        <xdr:spPr>
          <a:xfrm>
            <a:off x="1438275" y="1628775"/>
            <a:ext cx="9525" cy="581025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/>
          <xdr:cNvCxnSpPr/>
        </xdr:nvCxnSpPr>
        <xdr:spPr>
          <a:xfrm flipV="1">
            <a:off x="1438275" y="1590675"/>
            <a:ext cx="3676650" cy="1905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Straight Connector 16"/>
          <xdr:cNvCxnSpPr/>
        </xdr:nvCxnSpPr>
        <xdr:spPr>
          <a:xfrm flipH="1">
            <a:off x="1438276" y="2219325"/>
            <a:ext cx="1847849" cy="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/>
          <xdr:cNvCxnSpPr/>
        </xdr:nvCxnSpPr>
        <xdr:spPr>
          <a:xfrm>
            <a:off x="3276600" y="2209800"/>
            <a:ext cx="0" cy="62865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Straight Connector 22"/>
          <xdr:cNvCxnSpPr/>
        </xdr:nvCxnSpPr>
        <xdr:spPr>
          <a:xfrm flipH="1">
            <a:off x="3248027" y="2809875"/>
            <a:ext cx="628648" cy="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/>
          <xdr:cNvCxnSpPr/>
        </xdr:nvCxnSpPr>
        <xdr:spPr>
          <a:xfrm>
            <a:off x="3886200" y="2800350"/>
            <a:ext cx="0" cy="62865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Straight Connector 25"/>
          <xdr:cNvCxnSpPr/>
        </xdr:nvCxnSpPr>
        <xdr:spPr>
          <a:xfrm flipH="1">
            <a:off x="3857627" y="3429000"/>
            <a:ext cx="1257298" cy="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Straight Connector 27"/>
          <xdr:cNvCxnSpPr/>
        </xdr:nvCxnSpPr>
        <xdr:spPr>
          <a:xfrm flipH="1">
            <a:off x="5048250" y="1590675"/>
            <a:ext cx="19050" cy="1857375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9525</xdr:colOff>
      <xdr:row>8</xdr:row>
      <xdr:rowOff>28575</xdr:rowOff>
    </xdr:from>
    <xdr:to>
      <xdr:col>5</xdr:col>
      <xdr:colOff>9525</xdr:colOff>
      <xdr:row>10</xdr:row>
      <xdr:rowOff>19050</xdr:rowOff>
    </xdr:to>
    <xdr:cxnSp macro="">
      <xdr:nvCxnSpPr>
        <xdr:cNvPr id="36" name="Straight Connector 35"/>
        <xdr:cNvCxnSpPr/>
      </xdr:nvCxnSpPr>
      <xdr:spPr>
        <a:xfrm>
          <a:off x="2057400" y="3152775"/>
          <a:ext cx="0" cy="295275"/>
        </a:xfrm>
        <a:prstGeom prst="line">
          <a:avLst/>
        </a:prstGeom>
        <a:ln w="38100">
          <a:solidFill>
            <a:srgbClr val="FFFF0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5</xdr:row>
      <xdr:rowOff>19050</xdr:rowOff>
    </xdr:from>
    <xdr:to>
      <xdr:col>10</xdr:col>
      <xdr:colOff>285750</xdr:colOff>
      <xdr:row>12</xdr:row>
      <xdr:rowOff>19050</xdr:rowOff>
    </xdr:to>
    <xdr:grpSp>
      <xdr:nvGrpSpPr>
        <xdr:cNvPr id="58" name="Group 57"/>
        <xdr:cNvGrpSpPr/>
      </xdr:nvGrpSpPr>
      <xdr:grpSpPr>
        <a:xfrm>
          <a:off x="1780282" y="2396727"/>
          <a:ext cx="2269011" cy="1753850"/>
          <a:chOff x="1695450" y="2228850"/>
          <a:chExt cx="2162175" cy="1828800"/>
        </a:xfrm>
      </xdr:grpSpPr>
      <xdr:cxnSp macro="">
        <xdr:nvCxnSpPr>
          <xdr:cNvPr id="32" name="Straight Connector 31"/>
          <xdr:cNvCxnSpPr/>
        </xdr:nvCxnSpPr>
        <xdr:spPr>
          <a:xfrm>
            <a:off x="2657475" y="2228850"/>
            <a:ext cx="0" cy="1228725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Straight Connector 33"/>
          <xdr:cNvCxnSpPr/>
        </xdr:nvCxnSpPr>
        <xdr:spPr>
          <a:xfrm flipH="1" flipV="1">
            <a:off x="2066925" y="3419475"/>
            <a:ext cx="590550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Straight Connector 37"/>
          <xdr:cNvCxnSpPr/>
        </xdr:nvCxnSpPr>
        <xdr:spPr>
          <a:xfrm>
            <a:off x="1733550" y="3152775"/>
            <a:ext cx="0" cy="904875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/>
          <xdr:cNvCxnSpPr/>
        </xdr:nvCxnSpPr>
        <xdr:spPr>
          <a:xfrm flipH="1">
            <a:off x="1695450" y="3152775"/>
            <a:ext cx="371475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/>
          <xdr:cNvCxnSpPr/>
        </xdr:nvCxnSpPr>
        <xdr:spPr>
          <a:xfrm flipH="1">
            <a:off x="1695450" y="4019550"/>
            <a:ext cx="371475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/>
          <xdr:cNvCxnSpPr/>
        </xdr:nvCxnSpPr>
        <xdr:spPr>
          <a:xfrm>
            <a:off x="2057400" y="3752850"/>
            <a:ext cx="0" cy="295275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/>
          <xdr:cNvCxnSpPr/>
        </xdr:nvCxnSpPr>
        <xdr:spPr>
          <a:xfrm flipH="1">
            <a:off x="2019300" y="3752850"/>
            <a:ext cx="1238250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/>
          <xdr:cNvCxnSpPr/>
        </xdr:nvCxnSpPr>
        <xdr:spPr>
          <a:xfrm>
            <a:off x="3267075" y="3457575"/>
            <a:ext cx="0" cy="295275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47"/>
          <xdr:cNvCxnSpPr/>
        </xdr:nvCxnSpPr>
        <xdr:spPr>
          <a:xfrm flipH="1" flipV="1">
            <a:off x="3267075" y="3419475"/>
            <a:ext cx="590550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/>
          <xdr:cNvCxnSpPr/>
        </xdr:nvCxnSpPr>
        <xdr:spPr>
          <a:xfrm>
            <a:off x="3257550" y="2228850"/>
            <a:ext cx="0" cy="62865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/>
          <xdr:cNvCxnSpPr/>
        </xdr:nvCxnSpPr>
        <xdr:spPr>
          <a:xfrm flipH="1" flipV="1">
            <a:off x="3267075" y="2838450"/>
            <a:ext cx="590550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/>
          <xdr:cNvCxnSpPr/>
        </xdr:nvCxnSpPr>
        <xdr:spPr>
          <a:xfrm>
            <a:off x="3838575" y="2847975"/>
            <a:ext cx="0" cy="60960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55"/>
          <xdr:cNvCxnSpPr/>
        </xdr:nvCxnSpPr>
        <xdr:spPr>
          <a:xfrm flipH="1">
            <a:off x="2676525" y="2257425"/>
            <a:ext cx="581025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4</xdr:row>
      <xdr:rowOff>600076</xdr:rowOff>
    </xdr:from>
    <xdr:to>
      <xdr:col>13</xdr:col>
      <xdr:colOff>28575</xdr:colOff>
      <xdr:row>15</xdr:row>
      <xdr:rowOff>0</xdr:rowOff>
    </xdr:to>
    <xdr:grpSp>
      <xdr:nvGrpSpPr>
        <xdr:cNvPr id="100" name="Group 99"/>
        <xdr:cNvGrpSpPr/>
      </xdr:nvGrpSpPr>
      <xdr:grpSpPr>
        <a:xfrm>
          <a:off x="229849" y="2369896"/>
          <a:ext cx="4507542" cy="2936622"/>
          <a:chOff x="219075" y="2200276"/>
          <a:chExt cx="4295775" cy="3057524"/>
        </a:xfrm>
      </xdr:grpSpPr>
      <xdr:cxnSp macro="">
        <xdr:nvCxnSpPr>
          <xdr:cNvPr id="78" name="Straight Connector 77"/>
          <xdr:cNvCxnSpPr/>
        </xdr:nvCxnSpPr>
        <xdr:spPr>
          <a:xfrm flipV="1">
            <a:off x="3305178" y="3467103"/>
            <a:ext cx="0" cy="333372"/>
          </a:xfrm>
          <a:prstGeom prst="line">
            <a:avLst/>
          </a:prstGeom>
          <a:ln w="38100">
            <a:solidFill>
              <a:srgbClr val="FF00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99" name="Group 98"/>
          <xdr:cNvGrpSpPr/>
        </xdr:nvGrpSpPr>
        <xdr:grpSpPr>
          <a:xfrm>
            <a:off x="219075" y="2200276"/>
            <a:ext cx="4295775" cy="3057524"/>
            <a:chOff x="219075" y="2200276"/>
            <a:chExt cx="4295775" cy="3057524"/>
          </a:xfrm>
        </xdr:grpSpPr>
        <xdr:cxnSp macro="">
          <xdr:nvCxnSpPr>
            <xdr:cNvPr id="88" name="Straight Connector 87"/>
            <xdr:cNvCxnSpPr/>
          </xdr:nvCxnSpPr>
          <xdr:spPr>
            <a:xfrm flipV="1">
              <a:off x="2095503" y="3114676"/>
              <a:ext cx="0" cy="266699"/>
            </a:xfrm>
            <a:prstGeom prst="line">
              <a:avLst/>
            </a:prstGeom>
            <a:ln w="38100">
              <a:solidFill>
                <a:srgbClr val="FF0000"/>
              </a:solidFill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98" name="Group 97"/>
            <xdr:cNvGrpSpPr/>
          </xdr:nvGrpSpPr>
          <xdr:grpSpPr>
            <a:xfrm>
              <a:off x="219075" y="2200276"/>
              <a:ext cx="4295775" cy="3057524"/>
              <a:chOff x="219075" y="2200276"/>
              <a:chExt cx="4295775" cy="3057524"/>
            </a:xfrm>
          </xdr:grpSpPr>
          <xdr:cxnSp macro="">
            <xdr:nvCxnSpPr>
              <xdr:cNvPr id="59" name="Straight Connector 58"/>
              <xdr:cNvCxnSpPr/>
            </xdr:nvCxnSpPr>
            <xdr:spPr>
              <a:xfrm flipH="1">
                <a:off x="219075" y="2247900"/>
                <a:ext cx="2409825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1" name="Straight Connector 60"/>
              <xdr:cNvCxnSpPr/>
            </xdr:nvCxnSpPr>
            <xdr:spPr>
              <a:xfrm flipH="1">
                <a:off x="828676" y="5257800"/>
                <a:ext cx="3686174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3" name="Straight Connector 62"/>
              <xdr:cNvCxnSpPr/>
            </xdr:nvCxnSpPr>
            <xdr:spPr>
              <a:xfrm flipH="1">
                <a:off x="219076" y="3448050"/>
                <a:ext cx="609599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5" name="Straight Connector 64"/>
              <xdr:cNvCxnSpPr/>
            </xdr:nvCxnSpPr>
            <xdr:spPr>
              <a:xfrm flipH="1">
                <a:off x="3267077" y="3448050"/>
                <a:ext cx="1219198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7" name="Straight Connector 66"/>
              <xdr:cNvCxnSpPr/>
            </xdr:nvCxnSpPr>
            <xdr:spPr>
              <a:xfrm flipH="1">
                <a:off x="2038352" y="3790950"/>
                <a:ext cx="1219198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8" name="Straight Connector 67"/>
              <xdr:cNvCxnSpPr/>
            </xdr:nvCxnSpPr>
            <xdr:spPr>
              <a:xfrm flipH="1">
                <a:off x="1695452" y="4076700"/>
                <a:ext cx="371473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0" name="Straight Connector 69"/>
              <xdr:cNvCxnSpPr/>
            </xdr:nvCxnSpPr>
            <xdr:spPr>
              <a:xfrm flipH="1" flipV="1">
                <a:off x="4486278" y="3457575"/>
                <a:ext cx="0" cy="1800225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5" name="Straight Connector 74"/>
              <xdr:cNvCxnSpPr/>
            </xdr:nvCxnSpPr>
            <xdr:spPr>
              <a:xfrm flipH="1" flipV="1">
                <a:off x="847728" y="3457575"/>
                <a:ext cx="0" cy="1800225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6" name="Straight Connector 75"/>
              <xdr:cNvCxnSpPr/>
            </xdr:nvCxnSpPr>
            <xdr:spPr>
              <a:xfrm flipV="1">
                <a:off x="238128" y="2200276"/>
                <a:ext cx="0" cy="1276349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1" name="Straight Connector 80"/>
              <xdr:cNvCxnSpPr/>
            </xdr:nvCxnSpPr>
            <xdr:spPr>
              <a:xfrm flipV="1">
                <a:off x="2609853" y="2200277"/>
                <a:ext cx="0" cy="1247773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2" name="Straight Connector 81"/>
              <xdr:cNvCxnSpPr/>
            </xdr:nvCxnSpPr>
            <xdr:spPr>
              <a:xfrm flipH="1">
                <a:off x="1704975" y="3114675"/>
                <a:ext cx="371475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5" name="Straight Connector 84"/>
              <xdr:cNvCxnSpPr/>
            </xdr:nvCxnSpPr>
            <xdr:spPr>
              <a:xfrm flipH="1">
                <a:off x="2057401" y="3371850"/>
                <a:ext cx="552449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3" name="Straight Connector 92"/>
              <xdr:cNvCxnSpPr/>
            </xdr:nvCxnSpPr>
            <xdr:spPr>
              <a:xfrm flipV="1">
                <a:off x="1714503" y="3114675"/>
                <a:ext cx="0" cy="97155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6" name="Straight Connector 95"/>
              <xdr:cNvCxnSpPr/>
            </xdr:nvCxnSpPr>
            <xdr:spPr>
              <a:xfrm flipH="1" flipV="1">
                <a:off x="2095502" y="3829053"/>
                <a:ext cx="0" cy="247647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11</xdr:col>
      <xdr:colOff>295277</xdr:colOff>
      <xdr:row>9</xdr:row>
      <xdr:rowOff>142875</xdr:rowOff>
    </xdr:from>
    <xdr:to>
      <xdr:col>17</xdr:col>
      <xdr:colOff>38100</xdr:colOff>
      <xdr:row>19</xdr:row>
      <xdr:rowOff>28576</xdr:rowOff>
    </xdr:to>
    <xdr:grpSp>
      <xdr:nvGrpSpPr>
        <xdr:cNvPr id="156" name="Group 155"/>
        <xdr:cNvGrpSpPr/>
      </xdr:nvGrpSpPr>
      <xdr:grpSpPr>
        <a:xfrm>
          <a:off x="4378229" y="3534930"/>
          <a:ext cx="2287047" cy="2378641"/>
          <a:chOff x="4171952" y="3419475"/>
          <a:chExt cx="2181223" cy="2476501"/>
        </a:xfrm>
      </xdr:grpSpPr>
      <xdr:cxnSp macro="">
        <xdr:nvCxnSpPr>
          <xdr:cNvPr id="101" name="Straight Connector 100"/>
          <xdr:cNvCxnSpPr/>
        </xdr:nvCxnSpPr>
        <xdr:spPr>
          <a:xfrm flipH="1">
            <a:off x="4171952" y="5295900"/>
            <a:ext cx="361948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Straight Connector 102"/>
          <xdr:cNvCxnSpPr/>
        </xdr:nvCxnSpPr>
        <xdr:spPr>
          <a:xfrm flipV="1">
            <a:off x="4514850" y="3419475"/>
            <a:ext cx="0" cy="190500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Straight Connector 107"/>
          <xdr:cNvCxnSpPr/>
        </xdr:nvCxnSpPr>
        <xdr:spPr>
          <a:xfrm flipV="1">
            <a:off x="4210050" y="5257800"/>
            <a:ext cx="0" cy="638175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" name="Straight Connector 131"/>
          <xdr:cNvCxnSpPr/>
        </xdr:nvCxnSpPr>
        <xdr:spPr>
          <a:xfrm flipH="1">
            <a:off x="4171952" y="5876925"/>
            <a:ext cx="942973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/>
          <xdr:cNvCxnSpPr/>
        </xdr:nvCxnSpPr>
        <xdr:spPr>
          <a:xfrm flipV="1">
            <a:off x="5124450" y="5562600"/>
            <a:ext cx="0" cy="333376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" name="Straight Connector 143"/>
          <xdr:cNvCxnSpPr/>
        </xdr:nvCxnSpPr>
        <xdr:spPr>
          <a:xfrm flipH="1">
            <a:off x="5086352" y="5572125"/>
            <a:ext cx="657223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6" name="Straight Connector 145"/>
          <xdr:cNvCxnSpPr/>
        </xdr:nvCxnSpPr>
        <xdr:spPr>
          <a:xfrm flipV="1">
            <a:off x="5715000" y="5562600"/>
            <a:ext cx="0" cy="333376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7" name="Straight Connector 146"/>
          <xdr:cNvCxnSpPr/>
        </xdr:nvCxnSpPr>
        <xdr:spPr>
          <a:xfrm flipH="1">
            <a:off x="5715003" y="5867400"/>
            <a:ext cx="323847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/>
          <xdr:cNvCxnSpPr/>
        </xdr:nvCxnSpPr>
        <xdr:spPr>
          <a:xfrm flipV="1">
            <a:off x="6019800" y="5257800"/>
            <a:ext cx="0" cy="638175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0" name="Straight Connector 149"/>
          <xdr:cNvCxnSpPr/>
        </xdr:nvCxnSpPr>
        <xdr:spPr>
          <a:xfrm flipV="1">
            <a:off x="6286500" y="3419475"/>
            <a:ext cx="0" cy="190500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1" name="Straight Connector 150"/>
          <xdr:cNvCxnSpPr/>
        </xdr:nvCxnSpPr>
        <xdr:spPr>
          <a:xfrm flipH="1">
            <a:off x="6029328" y="5267325"/>
            <a:ext cx="323847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4" name="Straight Connector 153"/>
          <xdr:cNvCxnSpPr/>
        </xdr:nvCxnSpPr>
        <xdr:spPr>
          <a:xfrm flipH="1">
            <a:off x="4495803" y="3467100"/>
            <a:ext cx="1828797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19050</xdr:colOff>
      <xdr:row>4</xdr:row>
      <xdr:rowOff>581025</xdr:rowOff>
    </xdr:from>
    <xdr:to>
      <xdr:col>18</xdr:col>
      <xdr:colOff>19050</xdr:colOff>
      <xdr:row>12</xdr:row>
      <xdr:rowOff>28575</xdr:rowOff>
    </xdr:to>
    <xdr:grpSp>
      <xdr:nvGrpSpPr>
        <xdr:cNvPr id="171" name="Group 170"/>
        <xdr:cNvGrpSpPr/>
      </xdr:nvGrpSpPr>
      <xdr:grpSpPr>
        <a:xfrm>
          <a:off x="5367828" y="2351607"/>
          <a:ext cx="1918741" cy="1808114"/>
          <a:chOff x="5114925" y="2181225"/>
          <a:chExt cx="1828800" cy="1885950"/>
        </a:xfrm>
      </xdr:grpSpPr>
      <xdr:cxnSp macro="">
        <xdr:nvCxnSpPr>
          <xdr:cNvPr id="157" name="Straight Connector 156"/>
          <xdr:cNvCxnSpPr/>
        </xdr:nvCxnSpPr>
        <xdr:spPr>
          <a:xfrm flipV="1">
            <a:off x="5124450" y="2181225"/>
            <a:ext cx="0" cy="1219200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9" name="Straight Connector 158"/>
          <xdr:cNvCxnSpPr/>
        </xdr:nvCxnSpPr>
        <xdr:spPr>
          <a:xfrm flipV="1">
            <a:off x="6924675" y="2181225"/>
            <a:ext cx="0" cy="1876425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1" name="Straight Connector 160"/>
          <xdr:cNvCxnSpPr/>
        </xdr:nvCxnSpPr>
        <xdr:spPr>
          <a:xfrm flipH="1" flipV="1">
            <a:off x="5114925" y="2219326"/>
            <a:ext cx="1828800" cy="0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3" name="Straight Connector 162"/>
          <xdr:cNvCxnSpPr/>
        </xdr:nvCxnSpPr>
        <xdr:spPr>
          <a:xfrm flipH="1">
            <a:off x="5114925" y="3419476"/>
            <a:ext cx="1219200" cy="0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5" name="Straight Connector 164"/>
          <xdr:cNvCxnSpPr/>
        </xdr:nvCxnSpPr>
        <xdr:spPr>
          <a:xfrm flipV="1">
            <a:off x="6343650" y="3409950"/>
            <a:ext cx="0" cy="657225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Straight Connector 168"/>
          <xdr:cNvCxnSpPr/>
        </xdr:nvCxnSpPr>
        <xdr:spPr>
          <a:xfrm flipH="1">
            <a:off x="6324600" y="4057651"/>
            <a:ext cx="619125" cy="0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142875</xdr:colOff>
      <xdr:row>12</xdr:row>
      <xdr:rowOff>180975</xdr:rowOff>
    </xdr:from>
    <xdr:to>
      <xdr:col>9</xdr:col>
      <xdr:colOff>9525</xdr:colOff>
      <xdr:row>12</xdr:row>
      <xdr:rowOff>342900</xdr:rowOff>
    </xdr:to>
    <xdr:sp macro="" textlink="">
      <xdr:nvSpPr>
        <xdr:cNvPr id="174" name="5-Point Star 173"/>
        <xdr:cNvSpPr/>
      </xdr:nvSpPr>
      <xdr:spPr>
        <a:xfrm>
          <a:off x="3105150" y="4219575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5</xdr:row>
      <xdr:rowOff>209550</xdr:rowOff>
    </xdr:from>
    <xdr:to>
      <xdr:col>9</xdr:col>
      <xdr:colOff>171450</xdr:colOff>
      <xdr:row>5</xdr:row>
      <xdr:rowOff>371475</xdr:rowOff>
    </xdr:to>
    <xdr:sp macro="" textlink="">
      <xdr:nvSpPr>
        <xdr:cNvPr id="175" name="5-Point Star 174"/>
        <xdr:cNvSpPr/>
      </xdr:nvSpPr>
      <xdr:spPr>
        <a:xfrm>
          <a:off x="3267075" y="2419350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238125</xdr:colOff>
      <xdr:row>3</xdr:row>
      <xdr:rowOff>95250</xdr:rowOff>
    </xdr:from>
    <xdr:to>
      <xdr:col>10</xdr:col>
      <xdr:colOff>104775</xdr:colOff>
      <xdr:row>3</xdr:row>
      <xdr:rowOff>257175</xdr:rowOff>
    </xdr:to>
    <xdr:sp macro="" textlink="">
      <xdr:nvSpPr>
        <xdr:cNvPr id="176" name="5-Point Star 175"/>
        <xdr:cNvSpPr/>
      </xdr:nvSpPr>
      <xdr:spPr>
        <a:xfrm>
          <a:off x="3505200" y="1085850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180975</xdr:colOff>
      <xdr:row>15</xdr:row>
      <xdr:rowOff>66675</xdr:rowOff>
    </xdr:from>
    <xdr:to>
      <xdr:col>13</xdr:col>
      <xdr:colOff>352425</xdr:colOff>
      <xdr:row>16</xdr:row>
      <xdr:rowOff>76200</xdr:rowOff>
    </xdr:to>
    <xdr:sp macro="" textlink="">
      <xdr:nvSpPr>
        <xdr:cNvPr id="177" name="5-Point Star 176"/>
        <xdr:cNvSpPr/>
      </xdr:nvSpPr>
      <xdr:spPr>
        <a:xfrm>
          <a:off x="4667250" y="5324475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352425</xdr:colOff>
      <xdr:row>5</xdr:row>
      <xdr:rowOff>400050</xdr:rowOff>
    </xdr:from>
    <xdr:to>
      <xdr:col>14</xdr:col>
      <xdr:colOff>523875</xdr:colOff>
      <xdr:row>5</xdr:row>
      <xdr:rowOff>561975</xdr:rowOff>
    </xdr:to>
    <xdr:sp macro="" textlink="">
      <xdr:nvSpPr>
        <xdr:cNvPr id="178" name="5-Point Star 177"/>
        <xdr:cNvSpPr/>
      </xdr:nvSpPr>
      <xdr:spPr>
        <a:xfrm>
          <a:off x="5448300" y="2609850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600075</xdr:colOff>
      <xdr:row>2</xdr:row>
      <xdr:rowOff>0</xdr:rowOff>
    </xdr:from>
    <xdr:to>
      <xdr:col>14</xdr:col>
      <xdr:colOff>0</xdr:colOff>
      <xdr:row>30</xdr:row>
      <xdr:rowOff>19050</xdr:rowOff>
    </xdr:to>
    <xdr:cxnSp macro="">
      <xdr:nvCxnSpPr>
        <xdr:cNvPr id="2" name="Straight Connector 1"/>
        <xdr:cNvCxnSpPr/>
      </xdr:nvCxnSpPr>
      <xdr:spPr>
        <a:xfrm flipH="1">
          <a:off x="5086350" y="381000"/>
          <a:ext cx="9525" cy="8286750"/>
        </a:xfrm>
        <a:prstGeom prst="line">
          <a:avLst/>
        </a:prstGeom>
        <a:ln w="57150">
          <a:solidFill>
            <a:schemeClr val="accent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</xdr:colOff>
      <xdr:row>12</xdr:row>
      <xdr:rowOff>590550</xdr:rowOff>
    </xdr:from>
    <xdr:to>
      <xdr:col>20</xdr:col>
      <xdr:colOff>28575</xdr:colOff>
      <xdr:row>14</xdr:row>
      <xdr:rowOff>19050</xdr:rowOff>
    </xdr:to>
    <xdr:grpSp>
      <xdr:nvGrpSpPr>
        <xdr:cNvPr id="3" name="Group 2"/>
        <xdr:cNvGrpSpPr/>
      </xdr:nvGrpSpPr>
      <xdr:grpSpPr>
        <a:xfrm>
          <a:off x="257175" y="4895850"/>
          <a:ext cx="8305800" cy="342900"/>
          <a:chOff x="38100" y="4248150"/>
          <a:chExt cx="7915275" cy="342900"/>
        </a:xfrm>
      </xdr:grpSpPr>
      <xdr:cxnSp macro="">
        <xdr:nvCxnSpPr>
          <xdr:cNvPr id="4" name="Straight Connector 3"/>
          <xdr:cNvCxnSpPr/>
        </xdr:nvCxnSpPr>
        <xdr:spPr>
          <a:xfrm>
            <a:off x="38100" y="4248150"/>
            <a:ext cx="1819275" cy="323850"/>
          </a:xfrm>
          <a:prstGeom prst="line">
            <a:avLst/>
          </a:prstGeom>
          <a:ln w="5715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/>
          <xdr:cNvCxnSpPr/>
        </xdr:nvCxnSpPr>
        <xdr:spPr>
          <a:xfrm>
            <a:off x="1819275" y="4572000"/>
            <a:ext cx="6134100" cy="19050"/>
          </a:xfrm>
          <a:prstGeom prst="line">
            <a:avLst/>
          </a:prstGeom>
          <a:ln w="5715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295275</xdr:colOff>
      <xdr:row>1</xdr:row>
      <xdr:rowOff>190500</xdr:rowOff>
    </xdr:from>
    <xdr:to>
      <xdr:col>11</xdr:col>
      <xdr:colOff>0</xdr:colOff>
      <xdr:row>30</xdr:row>
      <xdr:rowOff>9525</xdr:rowOff>
    </xdr:to>
    <xdr:cxnSp macro="">
      <xdr:nvCxnSpPr>
        <xdr:cNvPr id="6" name="Straight Connector 5"/>
        <xdr:cNvCxnSpPr/>
      </xdr:nvCxnSpPr>
      <xdr:spPr>
        <a:xfrm flipH="1">
          <a:off x="3867150" y="381000"/>
          <a:ext cx="9525" cy="8277225"/>
        </a:xfrm>
        <a:prstGeom prst="line">
          <a:avLst/>
        </a:prstGeom>
        <a:ln w="28575">
          <a:solidFill>
            <a:schemeClr val="accent2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</xdr:row>
      <xdr:rowOff>600075</xdr:rowOff>
    </xdr:from>
    <xdr:to>
      <xdr:col>14</xdr:col>
      <xdr:colOff>19050</xdr:colOff>
      <xdr:row>10</xdr:row>
      <xdr:rowOff>19050</xdr:rowOff>
    </xdr:to>
    <xdr:grpSp>
      <xdr:nvGrpSpPr>
        <xdr:cNvPr id="7" name="Group 6"/>
        <xdr:cNvGrpSpPr/>
      </xdr:nvGrpSpPr>
      <xdr:grpSpPr>
        <a:xfrm>
          <a:off x="1438275" y="1857375"/>
          <a:ext cx="3676650" cy="1857375"/>
          <a:chOff x="1438275" y="1590675"/>
          <a:chExt cx="3676650" cy="1857375"/>
        </a:xfrm>
      </xdr:grpSpPr>
      <xdr:cxnSp macro="">
        <xdr:nvCxnSpPr>
          <xdr:cNvPr id="8" name="Straight Connector 7"/>
          <xdr:cNvCxnSpPr/>
        </xdr:nvCxnSpPr>
        <xdr:spPr>
          <a:xfrm>
            <a:off x="1438275" y="1628775"/>
            <a:ext cx="9525" cy="581025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Straight Connector 8"/>
          <xdr:cNvCxnSpPr/>
        </xdr:nvCxnSpPr>
        <xdr:spPr>
          <a:xfrm flipV="1">
            <a:off x="1438275" y="1590675"/>
            <a:ext cx="3676650" cy="1905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" name="Straight Connector 9"/>
          <xdr:cNvCxnSpPr/>
        </xdr:nvCxnSpPr>
        <xdr:spPr>
          <a:xfrm flipH="1">
            <a:off x="1438276" y="2219325"/>
            <a:ext cx="1847849" cy="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Straight Connector 10"/>
          <xdr:cNvCxnSpPr/>
        </xdr:nvCxnSpPr>
        <xdr:spPr>
          <a:xfrm>
            <a:off x="3276600" y="2209800"/>
            <a:ext cx="0" cy="62865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/>
          <xdr:cNvCxnSpPr/>
        </xdr:nvCxnSpPr>
        <xdr:spPr>
          <a:xfrm flipH="1">
            <a:off x="3248027" y="2809875"/>
            <a:ext cx="628648" cy="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/>
          <xdr:cNvCxnSpPr/>
        </xdr:nvCxnSpPr>
        <xdr:spPr>
          <a:xfrm>
            <a:off x="3886200" y="2800350"/>
            <a:ext cx="0" cy="62865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/>
          <xdr:cNvCxnSpPr/>
        </xdr:nvCxnSpPr>
        <xdr:spPr>
          <a:xfrm flipH="1">
            <a:off x="3857627" y="3429000"/>
            <a:ext cx="1257298" cy="0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/>
          <xdr:cNvCxnSpPr/>
        </xdr:nvCxnSpPr>
        <xdr:spPr>
          <a:xfrm flipH="1">
            <a:off x="5048250" y="1590675"/>
            <a:ext cx="19050" cy="1857375"/>
          </a:xfrm>
          <a:prstGeom prst="line">
            <a:avLst/>
          </a:prstGeom>
          <a:ln w="38100">
            <a:solidFill>
              <a:schemeClr val="accent1">
                <a:lumMod val="5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9525</xdr:colOff>
      <xdr:row>8</xdr:row>
      <xdr:rowOff>28575</xdr:rowOff>
    </xdr:from>
    <xdr:to>
      <xdr:col>5</xdr:col>
      <xdr:colOff>9525</xdr:colOff>
      <xdr:row>10</xdr:row>
      <xdr:rowOff>19050</xdr:rowOff>
    </xdr:to>
    <xdr:cxnSp macro="">
      <xdr:nvCxnSpPr>
        <xdr:cNvPr id="16" name="Straight Connector 15"/>
        <xdr:cNvCxnSpPr/>
      </xdr:nvCxnSpPr>
      <xdr:spPr>
        <a:xfrm>
          <a:off x="2057400" y="3152775"/>
          <a:ext cx="0" cy="295275"/>
        </a:xfrm>
        <a:prstGeom prst="line">
          <a:avLst/>
        </a:prstGeom>
        <a:ln w="38100">
          <a:solidFill>
            <a:srgbClr val="FFFF00"/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5</xdr:row>
      <xdr:rowOff>19050</xdr:rowOff>
    </xdr:from>
    <xdr:to>
      <xdr:col>10</xdr:col>
      <xdr:colOff>285750</xdr:colOff>
      <xdr:row>12</xdr:row>
      <xdr:rowOff>19050</xdr:rowOff>
    </xdr:to>
    <xdr:grpSp>
      <xdr:nvGrpSpPr>
        <xdr:cNvPr id="17" name="Group 16"/>
        <xdr:cNvGrpSpPr/>
      </xdr:nvGrpSpPr>
      <xdr:grpSpPr>
        <a:xfrm>
          <a:off x="1695450" y="2495550"/>
          <a:ext cx="2162175" cy="1828800"/>
          <a:chOff x="1695450" y="2228850"/>
          <a:chExt cx="2162175" cy="1828800"/>
        </a:xfrm>
      </xdr:grpSpPr>
      <xdr:cxnSp macro="">
        <xdr:nvCxnSpPr>
          <xdr:cNvPr id="18" name="Straight Connector 17"/>
          <xdr:cNvCxnSpPr/>
        </xdr:nvCxnSpPr>
        <xdr:spPr>
          <a:xfrm>
            <a:off x="2657475" y="2228850"/>
            <a:ext cx="0" cy="1228725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Straight Connector 18"/>
          <xdr:cNvCxnSpPr/>
        </xdr:nvCxnSpPr>
        <xdr:spPr>
          <a:xfrm flipH="1" flipV="1">
            <a:off x="2066925" y="3419475"/>
            <a:ext cx="590550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Straight Connector 19"/>
          <xdr:cNvCxnSpPr/>
        </xdr:nvCxnSpPr>
        <xdr:spPr>
          <a:xfrm>
            <a:off x="1733550" y="3152775"/>
            <a:ext cx="0" cy="904875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Straight Connector 20"/>
          <xdr:cNvCxnSpPr/>
        </xdr:nvCxnSpPr>
        <xdr:spPr>
          <a:xfrm flipH="1">
            <a:off x="1695450" y="3152775"/>
            <a:ext cx="371475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Connector 21"/>
          <xdr:cNvCxnSpPr/>
        </xdr:nvCxnSpPr>
        <xdr:spPr>
          <a:xfrm flipH="1">
            <a:off x="1695450" y="4019550"/>
            <a:ext cx="371475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Straight Connector 22"/>
          <xdr:cNvCxnSpPr/>
        </xdr:nvCxnSpPr>
        <xdr:spPr>
          <a:xfrm>
            <a:off x="2057400" y="3752850"/>
            <a:ext cx="0" cy="295275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Straight Connector 23"/>
          <xdr:cNvCxnSpPr/>
        </xdr:nvCxnSpPr>
        <xdr:spPr>
          <a:xfrm flipH="1">
            <a:off x="2019300" y="3752850"/>
            <a:ext cx="1238250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Straight Connector 24"/>
          <xdr:cNvCxnSpPr/>
        </xdr:nvCxnSpPr>
        <xdr:spPr>
          <a:xfrm>
            <a:off x="3267075" y="3457575"/>
            <a:ext cx="0" cy="295275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Straight Connector 25"/>
          <xdr:cNvCxnSpPr/>
        </xdr:nvCxnSpPr>
        <xdr:spPr>
          <a:xfrm flipH="1" flipV="1">
            <a:off x="3267075" y="3419475"/>
            <a:ext cx="590550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Straight Connector 26"/>
          <xdr:cNvCxnSpPr/>
        </xdr:nvCxnSpPr>
        <xdr:spPr>
          <a:xfrm>
            <a:off x="3257550" y="2228850"/>
            <a:ext cx="0" cy="62865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Straight Connector 27"/>
          <xdr:cNvCxnSpPr/>
        </xdr:nvCxnSpPr>
        <xdr:spPr>
          <a:xfrm flipH="1" flipV="1">
            <a:off x="3267075" y="2838450"/>
            <a:ext cx="590550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Straight Connector 28"/>
          <xdr:cNvCxnSpPr/>
        </xdr:nvCxnSpPr>
        <xdr:spPr>
          <a:xfrm>
            <a:off x="3838575" y="2847975"/>
            <a:ext cx="0" cy="60960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Straight Connector 29"/>
          <xdr:cNvCxnSpPr/>
        </xdr:nvCxnSpPr>
        <xdr:spPr>
          <a:xfrm flipH="1">
            <a:off x="2676525" y="2257425"/>
            <a:ext cx="581025" cy="0"/>
          </a:xfrm>
          <a:prstGeom prst="line">
            <a:avLst/>
          </a:prstGeom>
          <a:ln w="38100">
            <a:solidFill>
              <a:srgbClr val="FFFF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4</xdr:row>
      <xdr:rowOff>600076</xdr:rowOff>
    </xdr:from>
    <xdr:to>
      <xdr:col>13</xdr:col>
      <xdr:colOff>28575</xdr:colOff>
      <xdr:row>15</xdr:row>
      <xdr:rowOff>0</xdr:rowOff>
    </xdr:to>
    <xdr:grpSp>
      <xdr:nvGrpSpPr>
        <xdr:cNvPr id="31" name="Group 30"/>
        <xdr:cNvGrpSpPr/>
      </xdr:nvGrpSpPr>
      <xdr:grpSpPr>
        <a:xfrm>
          <a:off x="219075" y="2466976"/>
          <a:ext cx="4295775" cy="3057524"/>
          <a:chOff x="219075" y="2200276"/>
          <a:chExt cx="4295775" cy="3057524"/>
        </a:xfrm>
      </xdr:grpSpPr>
      <xdr:cxnSp macro="">
        <xdr:nvCxnSpPr>
          <xdr:cNvPr id="32" name="Straight Connector 31"/>
          <xdr:cNvCxnSpPr/>
        </xdr:nvCxnSpPr>
        <xdr:spPr>
          <a:xfrm flipV="1">
            <a:off x="3305178" y="3467103"/>
            <a:ext cx="0" cy="333372"/>
          </a:xfrm>
          <a:prstGeom prst="line">
            <a:avLst/>
          </a:prstGeom>
          <a:ln w="38100">
            <a:solidFill>
              <a:srgbClr val="FF000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grpSp>
        <xdr:nvGrpSpPr>
          <xdr:cNvPr id="33" name="Group 32"/>
          <xdr:cNvGrpSpPr/>
        </xdr:nvGrpSpPr>
        <xdr:grpSpPr>
          <a:xfrm>
            <a:off x="219075" y="2200276"/>
            <a:ext cx="4295775" cy="3057524"/>
            <a:chOff x="219075" y="2200276"/>
            <a:chExt cx="4295775" cy="3057524"/>
          </a:xfrm>
        </xdr:grpSpPr>
        <xdr:cxnSp macro="">
          <xdr:nvCxnSpPr>
            <xdr:cNvPr id="34" name="Straight Connector 33"/>
            <xdr:cNvCxnSpPr/>
          </xdr:nvCxnSpPr>
          <xdr:spPr>
            <a:xfrm flipV="1">
              <a:off x="2095503" y="3114676"/>
              <a:ext cx="0" cy="266699"/>
            </a:xfrm>
            <a:prstGeom prst="line">
              <a:avLst/>
            </a:prstGeom>
            <a:ln w="38100">
              <a:solidFill>
                <a:srgbClr val="FF0000"/>
              </a:solidFill>
              <a:prstDash val="sys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grpSp>
          <xdr:nvGrpSpPr>
            <xdr:cNvPr id="35" name="Group 34"/>
            <xdr:cNvGrpSpPr/>
          </xdr:nvGrpSpPr>
          <xdr:grpSpPr>
            <a:xfrm>
              <a:off x="219075" y="2200276"/>
              <a:ext cx="4295775" cy="3057524"/>
              <a:chOff x="219075" y="2200276"/>
              <a:chExt cx="4295775" cy="3057524"/>
            </a:xfrm>
          </xdr:grpSpPr>
          <xdr:cxnSp macro="">
            <xdr:nvCxnSpPr>
              <xdr:cNvPr id="36" name="Straight Connector 35"/>
              <xdr:cNvCxnSpPr/>
            </xdr:nvCxnSpPr>
            <xdr:spPr>
              <a:xfrm flipH="1">
                <a:off x="219075" y="2247900"/>
                <a:ext cx="2409825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7" name="Straight Connector 36"/>
              <xdr:cNvCxnSpPr/>
            </xdr:nvCxnSpPr>
            <xdr:spPr>
              <a:xfrm flipH="1">
                <a:off x="828676" y="5257800"/>
                <a:ext cx="3686174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8" name="Straight Connector 37"/>
              <xdr:cNvCxnSpPr/>
            </xdr:nvCxnSpPr>
            <xdr:spPr>
              <a:xfrm flipH="1">
                <a:off x="219076" y="3448050"/>
                <a:ext cx="609599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9" name="Straight Connector 38"/>
              <xdr:cNvCxnSpPr/>
            </xdr:nvCxnSpPr>
            <xdr:spPr>
              <a:xfrm flipH="1">
                <a:off x="3267077" y="3448050"/>
                <a:ext cx="1219198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" name="Straight Connector 39"/>
              <xdr:cNvCxnSpPr/>
            </xdr:nvCxnSpPr>
            <xdr:spPr>
              <a:xfrm flipH="1">
                <a:off x="2038352" y="3790950"/>
                <a:ext cx="1219198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1" name="Straight Connector 40"/>
              <xdr:cNvCxnSpPr/>
            </xdr:nvCxnSpPr>
            <xdr:spPr>
              <a:xfrm flipH="1">
                <a:off x="1695452" y="4076700"/>
                <a:ext cx="371473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" name="Straight Connector 41"/>
              <xdr:cNvCxnSpPr/>
            </xdr:nvCxnSpPr>
            <xdr:spPr>
              <a:xfrm flipH="1" flipV="1">
                <a:off x="4486278" y="3457575"/>
                <a:ext cx="0" cy="1800225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3" name="Straight Connector 42"/>
              <xdr:cNvCxnSpPr/>
            </xdr:nvCxnSpPr>
            <xdr:spPr>
              <a:xfrm flipH="1" flipV="1">
                <a:off x="847728" y="3457575"/>
                <a:ext cx="0" cy="1800225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" name="Straight Connector 43"/>
              <xdr:cNvCxnSpPr/>
            </xdr:nvCxnSpPr>
            <xdr:spPr>
              <a:xfrm flipV="1">
                <a:off x="238128" y="2200276"/>
                <a:ext cx="0" cy="1276349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5" name="Straight Connector 44"/>
              <xdr:cNvCxnSpPr/>
            </xdr:nvCxnSpPr>
            <xdr:spPr>
              <a:xfrm flipV="1">
                <a:off x="2609853" y="2200277"/>
                <a:ext cx="0" cy="1247773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6" name="Straight Connector 45"/>
              <xdr:cNvCxnSpPr/>
            </xdr:nvCxnSpPr>
            <xdr:spPr>
              <a:xfrm flipH="1">
                <a:off x="1704975" y="3114675"/>
                <a:ext cx="371475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7" name="Straight Connector 46"/>
              <xdr:cNvCxnSpPr/>
            </xdr:nvCxnSpPr>
            <xdr:spPr>
              <a:xfrm flipH="1">
                <a:off x="2057401" y="3371850"/>
                <a:ext cx="552449" cy="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8" name="Straight Connector 47"/>
              <xdr:cNvCxnSpPr/>
            </xdr:nvCxnSpPr>
            <xdr:spPr>
              <a:xfrm flipV="1">
                <a:off x="1714503" y="3114675"/>
                <a:ext cx="0" cy="971550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9" name="Straight Connector 48"/>
              <xdr:cNvCxnSpPr/>
            </xdr:nvCxnSpPr>
            <xdr:spPr>
              <a:xfrm flipH="1" flipV="1">
                <a:off x="2095502" y="3829053"/>
                <a:ext cx="0" cy="247647"/>
              </a:xfrm>
              <a:prstGeom prst="line">
                <a:avLst/>
              </a:prstGeom>
              <a:ln w="38100">
                <a:solidFill>
                  <a:srgbClr val="FF0000"/>
                </a:solidFill>
                <a:prstDash val="sysDot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</xdr:grpSp>
    <xdr:clientData/>
  </xdr:twoCellAnchor>
  <xdr:twoCellAnchor>
    <xdr:from>
      <xdr:col>11</xdr:col>
      <xdr:colOff>295277</xdr:colOff>
      <xdr:row>9</xdr:row>
      <xdr:rowOff>142875</xdr:rowOff>
    </xdr:from>
    <xdr:to>
      <xdr:col>17</xdr:col>
      <xdr:colOff>38100</xdr:colOff>
      <xdr:row>19</xdr:row>
      <xdr:rowOff>28576</xdr:rowOff>
    </xdr:to>
    <xdr:grpSp>
      <xdr:nvGrpSpPr>
        <xdr:cNvPr id="50" name="Group 49"/>
        <xdr:cNvGrpSpPr/>
      </xdr:nvGrpSpPr>
      <xdr:grpSpPr>
        <a:xfrm>
          <a:off x="4171952" y="3686175"/>
          <a:ext cx="2181223" cy="2476501"/>
          <a:chOff x="4171952" y="3419475"/>
          <a:chExt cx="2181223" cy="2476501"/>
        </a:xfrm>
      </xdr:grpSpPr>
      <xdr:cxnSp macro="">
        <xdr:nvCxnSpPr>
          <xdr:cNvPr id="51" name="Straight Connector 50"/>
          <xdr:cNvCxnSpPr/>
        </xdr:nvCxnSpPr>
        <xdr:spPr>
          <a:xfrm flipH="1">
            <a:off x="4171952" y="5295900"/>
            <a:ext cx="361948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/>
          <xdr:cNvCxnSpPr/>
        </xdr:nvCxnSpPr>
        <xdr:spPr>
          <a:xfrm flipV="1">
            <a:off x="4514850" y="3419475"/>
            <a:ext cx="0" cy="190500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/>
          <xdr:cNvCxnSpPr/>
        </xdr:nvCxnSpPr>
        <xdr:spPr>
          <a:xfrm flipV="1">
            <a:off x="4210050" y="5257800"/>
            <a:ext cx="0" cy="638175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/>
          <xdr:cNvCxnSpPr/>
        </xdr:nvCxnSpPr>
        <xdr:spPr>
          <a:xfrm flipH="1">
            <a:off x="4171952" y="5876925"/>
            <a:ext cx="942973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/>
          <xdr:cNvCxnSpPr/>
        </xdr:nvCxnSpPr>
        <xdr:spPr>
          <a:xfrm flipV="1">
            <a:off x="5124450" y="5562600"/>
            <a:ext cx="0" cy="333376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Straight Connector 55"/>
          <xdr:cNvCxnSpPr/>
        </xdr:nvCxnSpPr>
        <xdr:spPr>
          <a:xfrm flipH="1">
            <a:off x="5086352" y="5572125"/>
            <a:ext cx="657223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/>
          <xdr:cNvCxnSpPr/>
        </xdr:nvCxnSpPr>
        <xdr:spPr>
          <a:xfrm flipV="1">
            <a:off x="5715000" y="5562600"/>
            <a:ext cx="0" cy="333376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Straight Connector 57"/>
          <xdr:cNvCxnSpPr/>
        </xdr:nvCxnSpPr>
        <xdr:spPr>
          <a:xfrm flipH="1">
            <a:off x="5715003" y="5867400"/>
            <a:ext cx="323847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Straight Connector 58"/>
          <xdr:cNvCxnSpPr/>
        </xdr:nvCxnSpPr>
        <xdr:spPr>
          <a:xfrm flipV="1">
            <a:off x="6019800" y="5257800"/>
            <a:ext cx="0" cy="638175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Straight Connector 59"/>
          <xdr:cNvCxnSpPr/>
        </xdr:nvCxnSpPr>
        <xdr:spPr>
          <a:xfrm flipV="1">
            <a:off x="6286500" y="3419475"/>
            <a:ext cx="0" cy="190500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/>
          <xdr:cNvCxnSpPr/>
        </xdr:nvCxnSpPr>
        <xdr:spPr>
          <a:xfrm flipH="1">
            <a:off x="6029328" y="5267325"/>
            <a:ext cx="323847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Straight Connector 61"/>
          <xdr:cNvCxnSpPr/>
        </xdr:nvCxnSpPr>
        <xdr:spPr>
          <a:xfrm flipH="1">
            <a:off x="4495803" y="3467100"/>
            <a:ext cx="1828797" cy="0"/>
          </a:xfrm>
          <a:prstGeom prst="line">
            <a:avLst/>
          </a:prstGeom>
          <a:ln w="38100">
            <a:solidFill>
              <a:schemeClr val="accent6">
                <a:lumMod val="20000"/>
                <a:lumOff val="80000"/>
              </a:schemeClr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19050</xdr:colOff>
      <xdr:row>4</xdr:row>
      <xdr:rowOff>581025</xdr:rowOff>
    </xdr:from>
    <xdr:to>
      <xdr:col>18</xdr:col>
      <xdr:colOff>19050</xdr:colOff>
      <xdr:row>12</xdr:row>
      <xdr:rowOff>28575</xdr:rowOff>
    </xdr:to>
    <xdr:grpSp>
      <xdr:nvGrpSpPr>
        <xdr:cNvPr id="63" name="Group 62"/>
        <xdr:cNvGrpSpPr/>
      </xdr:nvGrpSpPr>
      <xdr:grpSpPr>
        <a:xfrm>
          <a:off x="5114925" y="2447925"/>
          <a:ext cx="1828800" cy="1885950"/>
          <a:chOff x="5114925" y="2181225"/>
          <a:chExt cx="1828800" cy="1885950"/>
        </a:xfrm>
      </xdr:grpSpPr>
      <xdr:cxnSp macro="">
        <xdr:nvCxnSpPr>
          <xdr:cNvPr id="64" name="Straight Connector 63"/>
          <xdr:cNvCxnSpPr/>
        </xdr:nvCxnSpPr>
        <xdr:spPr>
          <a:xfrm flipV="1">
            <a:off x="5124450" y="2181225"/>
            <a:ext cx="0" cy="1219200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Straight Connector 64"/>
          <xdr:cNvCxnSpPr/>
        </xdr:nvCxnSpPr>
        <xdr:spPr>
          <a:xfrm flipV="1">
            <a:off x="6924675" y="2181225"/>
            <a:ext cx="0" cy="1876425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Straight Connector 65"/>
          <xdr:cNvCxnSpPr/>
        </xdr:nvCxnSpPr>
        <xdr:spPr>
          <a:xfrm flipH="1" flipV="1">
            <a:off x="5114925" y="2219326"/>
            <a:ext cx="1828800" cy="0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Straight Connector 66"/>
          <xdr:cNvCxnSpPr/>
        </xdr:nvCxnSpPr>
        <xdr:spPr>
          <a:xfrm flipH="1">
            <a:off x="5114925" y="3419476"/>
            <a:ext cx="1219200" cy="0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Straight Connector 67"/>
          <xdr:cNvCxnSpPr/>
        </xdr:nvCxnSpPr>
        <xdr:spPr>
          <a:xfrm flipV="1">
            <a:off x="6343650" y="3409950"/>
            <a:ext cx="0" cy="657225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Straight Connector 68"/>
          <xdr:cNvCxnSpPr/>
        </xdr:nvCxnSpPr>
        <xdr:spPr>
          <a:xfrm flipH="1">
            <a:off x="6324600" y="4057651"/>
            <a:ext cx="619125" cy="0"/>
          </a:xfrm>
          <a:prstGeom prst="line">
            <a:avLst/>
          </a:prstGeom>
          <a:ln w="38100">
            <a:solidFill>
              <a:srgbClr val="00B0F0"/>
            </a:solidFill>
            <a:prstDash val="sys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142875</xdr:colOff>
      <xdr:row>12</xdr:row>
      <xdr:rowOff>180975</xdr:rowOff>
    </xdr:from>
    <xdr:to>
      <xdr:col>9</xdr:col>
      <xdr:colOff>9525</xdr:colOff>
      <xdr:row>12</xdr:row>
      <xdr:rowOff>342900</xdr:rowOff>
    </xdr:to>
    <xdr:sp macro="" textlink="">
      <xdr:nvSpPr>
        <xdr:cNvPr id="70" name="5-Point Star 69"/>
        <xdr:cNvSpPr/>
      </xdr:nvSpPr>
      <xdr:spPr>
        <a:xfrm>
          <a:off x="3105150" y="4219575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5</xdr:row>
      <xdr:rowOff>209550</xdr:rowOff>
    </xdr:from>
    <xdr:to>
      <xdr:col>9</xdr:col>
      <xdr:colOff>171450</xdr:colOff>
      <xdr:row>5</xdr:row>
      <xdr:rowOff>371475</xdr:rowOff>
    </xdr:to>
    <xdr:sp macro="" textlink="">
      <xdr:nvSpPr>
        <xdr:cNvPr id="71" name="5-Point Star 70"/>
        <xdr:cNvSpPr/>
      </xdr:nvSpPr>
      <xdr:spPr>
        <a:xfrm>
          <a:off x="3267075" y="2419350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238125</xdr:colOff>
      <xdr:row>3</xdr:row>
      <xdr:rowOff>95250</xdr:rowOff>
    </xdr:from>
    <xdr:to>
      <xdr:col>10</xdr:col>
      <xdr:colOff>104775</xdr:colOff>
      <xdr:row>3</xdr:row>
      <xdr:rowOff>257175</xdr:rowOff>
    </xdr:to>
    <xdr:sp macro="" textlink="">
      <xdr:nvSpPr>
        <xdr:cNvPr id="72" name="5-Point Star 71"/>
        <xdr:cNvSpPr/>
      </xdr:nvSpPr>
      <xdr:spPr>
        <a:xfrm>
          <a:off x="3505200" y="1085850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180975</xdr:colOff>
      <xdr:row>15</xdr:row>
      <xdr:rowOff>66675</xdr:rowOff>
    </xdr:from>
    <xdr:to>
      <xdr:col>13</xdr:col>
      <xdr:colOff>352425</xdr:colOff>
      <xdr:row>16</xdr:row>
      <xdr:rowOff>76200</xdr:rowOff>
    </xdr:to>
    <xdr:sp macro="" textlink="">
      <xdr:nvSpPr>
        <xdr:cNvPr id="73" name="5-Point Star 72"/>
        <xdr:cNvSpPr/>
      </xdr:nvSpPr>
      <xdr:spPr>
        <a:xfrm>
          <a:off x="4667250" y="5324475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352425</xdr:colOff>
      <xdr:row>5</xdr:row>
      <xdr:rowOff>400050</xdr:rowOff>
    </xdr:from>
    <xdr:to>
      <xdr:col>14</xdr:col>
      <xdr:colOff>523875</xdr:colOff>
      <xdr:row>5</xdr:row>
      <xdr:rowOff>561975</xdr:rowOff>
    </xdr:to>
    <xdr:sp macro="" textlink="">
      <xdr:nvSpPr>
        <xdr:cNvPr id="74" name="5-Point Star 73"/>
        <xdr:cNvSpPr/>
      </xdr:nvSpPr>
      <xdr:spPr>
        <a:xfrm>
          <a:off x="5448300" y="2609850"/>
          <a:ext cx="171450" cy="161925"/>
        </a:xfrm>
        <a:prstGeom prst="star5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Y30"/>
  <sheetViews>
    <sheetView workbookViewId="0">
      <selection sqref="A1:Y30"/>
    </sheetView>
  </sheetViews>
  <sheetFormatPr defaultRowHeight="15" x14ac:dyDescent="0.25"/>
  <cols>
    <col min="1" max="1" width="3.28515625" style="1" customWidth="1"/>
    <col min="2" max="3" width="9.140625" style="1"/>
    <col min="4" max="13" width="4.5703125" style="1" customWidth="1"/>
    <col min="14" max="14" width="9.140625" style="1" customWidth="1"/>
    <col min="15" max="15" width="9.140625" style="1"/>
    <col min="16" max="17" width="4.5703125" style="1" customWidth="1"/>
    <col min="18" max="19" width="9.140625" style="1"/>
    <col min="20" max="26" width="15" style="1" customWidth="1"/>
    <col min="27" max="16384" width="9.140625" style="1"/>
  </cols>
  <sheetData>
    <row r="1" spans="2:25" ht="36" x14ac:dyDescent="0.25">
      <c r="B1" s="38" t="s">
        <v>11</v>
      </c>
    </row>
    <row r="2" spans="2:25" x14ac:dyDescent="0.25">
      <c r="T2" s="30" t="s">
        <v>5</v>
      </c>
      <c r="U2" s="30" t="s">
        <v>6</v>
      </c>
      <c r="V2" s="30" t="s">
        <v>7</v>
      </c>
      <c r="W2" s="30" t="s">
        <v>9</v>
      </c>
      <c r="X2" s="30" t="s">
        <v>8</v>
      </c>
      <c r="Y2" s="33" t="s">
        <v>10</v>
      </c>
    </row>
    <row r="3" spans="2:25" ht="48" customHeight="1" x14ac:dyDescent="0.25">
      <c r="B3" s="8">
        <v>1697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9"/>
      <c r="T3" s="29" t="s">
        <v>0</v>
      </c>
      <c r="U3" s="20">
        <f>SumByColor(T3,$B$3:$S$30)</f>
        <v>1923</v>
      </c>
      <c r="V3" s="20">
        <v>1800</v>
      </c>
      <c r="W3" s="20" t="str">
        <f>IF(V3-U3&gt;0,V3-U3, "")</f>
        <v/>
      </c>
      <c r="X3" s="20">
        <f>IF(U3-V3&gt;0,U3-V3,"")</f>
        <v>123</v>
      </c>
      <c r="Y3" s="34">
        <f t="shared" ref="Y3:Y4" si="0">IFERROR(X3/V3,"")</f>
        <v>6.8333333333333329E-2</v>
      </c>
    </row>
    <row r="4" spans="2:25" ht="48" customHeight="1" x14ac:dyDescent="0.25">
      <c r="B4" s="8"/>
      <c r="C4" s="19"/>
      <c r="D4" s="19"/>
      <c r="E4" s="9"/>
      <c r="F4" s="5">
        <v>12</v>
      </c>
      <c r="G4" s="5"/>
      <c r="H4" s="5"/>
      <c r="I4" s="5"/>
      <c r="J4" s="5">
        <v>120</v>
      </c>
      <c r="K4" s="5"/>
      <c r="L4" s="8"/>
      <c r="M4" s="19"/>
      <c r="N4" s="9"/>
      <c r="O4" s="4">
        <v>63</v>
      </c>
      <c r="P4" s="5"/>
      <c r="Q4" s="5"/>
      <c r="T4" s="4" t="s">
        <v>1</v>
      </c>
      <c r="U4" s="20">
        <f>SumByColor(T4,$B$3:$S$30)</f>
        <v>2025</v>
      </c>
      <c r="V4" s="20">
        <v>1800</v>
      </c>
      <c r="W4" s="20" t="str">
        <f t="shared" ref="W4:W6" si="1">IF(V4-U4&gt;0,V4-U4, "")</f>
        <v/>
      </c>
      <c r="X4" s="20">
        <f t="shared" ref="X4:X6" si="2">IF(U4-V4&gt;0,U4-V4,"")</f>
        <v>225</v>
      </c>
      <c r="Y4" s="34">
        <f t="shared" si="0"/>
        <v>0.125</v>
      </c>
    </row>
    <row r="5" spans="2:25" ht="48" customHeight="1" x14ac:dyDescent="0.25">
      <c r="B5" s="4">
        <v>51</v>
      </c>
      <c r="C5" s="4">
        <v>27</v>
      </c>
      <c r="D5" s="6">
        <v>1</v>
      </c>
      <c r="E5" s="6"/>
      <c r="F5" s="6">
        <v>14</v>
      </c>
      <c r="G5" s="6"/>
      <c r="H5" s="6">
        <v>21</v>
      </c>
      <c r="I5" s="6"/>
      <c r="J5" s="6">
        <v>27</v>
      </c>
      <c r="K5" s="6"/>
      <c r="L5" s="6">
        <v>73</v>
      </c>
      <c r="M5" s="6"/>
      <c r="N5" s="7">
        <v>32</v>
      </c>
      <c r="O5" s="4"/>
      <c r="P5" s="5"/>
      <c r="Q5" s="5"/>
      <c r="R5" s="4">
        <v>55</v>
      </c>
      <c r="T5" s="10" t="s">
        <v>2</v>
      </c>
      <c r="U5" s="20">
        <f>SumByColor(T5,$B$3:$S$30)</f>
        <v>1689</v>
      </c>
      <c r="V5" s="20">
        <v>2400</v>
      </c>
      <c r="W5" s="20">
        <f t="shared" si="1"/>
        <v>711</v>
      </c>
      <c r="X5" s="20" t="str">
        <f t="shared" si="2"/>
        <v/>
      </c>
      <c r="Y5" s="34" t="str">
        <f>IFERROR(X5/V5,"")</f>
        <v/>
      </c>
    </row>
    <row r="6" spans="2:25" ht="48" customHeight="1" x14ac:dyDescent="0.25">
      <c r="B6" s="10"/>
      <c r="C6" s="10"/>
      <c r="D6" s="11">
        <v>1</v>
      </c>
      <c r="E6" s="11"/>
      <c r="F6" s="11">
        <v>2</v>
      </c>
      <c r="G6" s="11"/>
      <c r="H6" s="6">
        <v>377</v>
      </c>
      <c r="I6" s="6"/>
      <c r="J6" s="6">
        <v>296</v>
      </c>
      <c r="K6" s="6"/>
      <c r="L6" s="6">
        <v>165</v>
      </c>
      <c r="M6" s="6"/>
      <c r="N6" s="7">
        <v>298</v>
      </c>
      <c r="O6" s="12">
        <v>249</v>
      </c>
      <c r="P6" s="13">
        <v>121</v>
      </c>
      <c r="Q6" s="13"/>
      <c r="R6" s="12">
        <v>96</v>
      </c>
      <c r="T6" s="14" t="s">
        <v>3</v>
      </c>
      <c r="U6" s="20">
        <f>SumByColor(T6,$B$3:$S$30)</f>
        <v>2962</v>
      </c>
      <c r="V6" s="20">
        <v>1900</v>
      </c>
      <c r="W6" s="20" t="str">
        <f t="shared" si="1"/>
        <v/>
      </c>
      <c r="X6" s="20">
        <f t="shared" si="2"/>
        <v>1062</v>
      </c>
      <c r="Y6" s="34">
        <f>IFERROR(X6/V6,"")</f>
        <v>0.55894736842105264</v>
      </c>
    </row>
    <row r="7" spans="2:25" ht="12" customHeight="1" x14ac:dyDescent="0.25">
      <c r="B7" s="11"/>
      <c r="C7" s="11"/>
      <c r="D7" s="11">
        <v>11</v>
      </c>
      <c r="E7" s="11"/>
      <c r="F7" s="11">
        <v>6</v>
      </c>
      <c r="G7" s="11"/>
      <c r="H7" s="6">
        <v>229</v>
      </c>
      <c r="I7" s="6"/>
      <c r="J7" s="6">
        <v>244</v>
      </c>
      <c r="K7" s="6"/>
      <c r="L7" s="6">
        <v>425</v>
      </c>
      <c r="M7" s="6"/>
      <c r="N7" s="6">
        <v>213</v>
      </c>
      <c r="O7" s="13">
        <v>231</v>
      </c>
      <c r="P7" s="13">
        <v>332</v>
      </c>
      <c r="Q7" s="13"/>
      <c r="R7" s="13">
        <v>260</v>
      </c>
      <c r="T7" s="6" t="s">
        <v>4</v>
      </c>
      <c r="U7" s="21">
        <f>SumByColor(T7,$B$3:$S$30)</f>
        <v>2763</v>
      </c>
      <c r="V7" s="21">
        <v>1800</v>
      </c>
      <c r="W7" s="21" t="str">
        <f>IF(V7-U7&gt;0,V7-U7,"")</f>
        <v/>
      </c>
      <c r="X7" s="21">
        <f>IF(U7-V7&gt;0,U7-V7,"")</f>
        <v>963</v>
      </c>
      <c r="Y7" s="35">
        <f>IFERROR(X7/V7,"")</f>
        <v>0.53500000000000003</v>
      </c>
    </row>
    <row r="8" spans="2:25" ht="12" customHeight="1" x14ac:dyDescent="0.25">
      <c r="B8" s="11"/>
      <c r="C8" s="11"/>
      <c r="D8" s="11"/>
      <c r="E8" s="11"/>
      <c r="F8" s="11"/>
      <c r="G8" s="11"/>
      <c r="H8" s="6"/>
      <c r="I8" s="6"/>
      <c r="J8" s="6"/>
      <c r="K8" s="6"/>
      <c r="L8" s="6"/>
      <c r="M8" s="6"/>
      <c r="N8" s="6"/>
      <c r="O8" s="13"/>
      <c r="P8" s="13"/>
      <c r="Q8" s="13"/>
      <c r="R8" s="13"/>
      <c r="T8" s="6"/>
      <c r="U8" s="21"/>
      <c r="V8" s="21"/>
      <c r="W8" s="21"/>
      <c r="X8" s="21"/>
      <c r="Y8" s="36"/>
    </row>
    <row r="9" spans="2:25" ht="12" customHeight="1" x14ac:dyDescent="0.25">
      <c r="B9" s="11"/>
      <c r="C9" s="11"/>
      <c r="D9" s="11"/>
      <c r="E9" s="6">
        <v>34</v>
      </c>
      <c r="F9" s="11"/>
      <c r="G9" s="11"/>
      <c r="H9" s="6"/>
      <c r="I9" s="6"/>
      <c r="J9" s="6"/>
      <c r="K9" s="6"/>
      <c r="L9" s="6"/>
      <c r="M9" s="6"/>
      <c r="N9" s="6"/>
      <c r="O9" s="13"/>
      <c r="P9" s="13"/>
      <c r="Q9" s="13"/>
      <c r="R9" s="13"/>
      <c r="T9" s="6"/>
      <c r="U9" s="21"/>
      <c r="V9" s="21"/>
      <c r="W9" s="21"/>
      <c r="X9" s="21"/>
      <c r="Y9" s="36"/>
    </row>
    <row r="10" spans="2:25" ht="12" customHeight="1" x14ac:dyDescent="0.25">
      <c r="B10" s="11"/>
      <c r="C10" s="11"/>
      <c r="D10" s="11"/>
      <c r="E10" s="6"/>
      <c r="F10" s="11"/>
      <c r="G10" s="11"/>
      <c r="H10" s="6">
        <v>17</v>
      </c>
      <c r="I10" s="6"/>
      <c r="J10" s="6"/>
      <c r="K10" s="6"/>
      <c r="L10" s="6"/>
      <c r="M10" s="6"/>
      <c r="N10" s="6"/>
      <c r="O10" s="13"/>
      <c r="P10" s="13"/>
      <c r="Q10" s="13"/>
      <c r="R10" s="13"/>
      <c r="T10" s="6"/>
      <c r="U10" s="21"/>
      <c r="V10" s="21"/>
      <c r="W10" s="21"/>
      <c r="X10" s="21"/>
      <c r="Y10" s="37"/>
    </row>
    <row r="11" spans="2:25" ht="24" customHeight="1" x14ac:dyDescent="0.25">
      <c r="B11" s="2"/>
      <c r="C11" s="11">
        <v>2</v>
      </c>
      <c r="D11" s="11"/>
      <c r="E11" s="6">
        <v>91</v>
      </c>
      <c r="F11" s="6">
        <v>122</v>
      </c>
      <c r="G11" s="6"/>
      <c r="H11" s="6">
        <v>84</v>
      </c>
      <c r="I11" s="6"/>
      <c r="J11" s="11">
        <v>187</v>
      </c>
      <c r="K11" s="11"/>
      <c r="L11" s="11">
        <v>251</v>
      </c>
      <c r="M11" s="11"/>
      <c r="N11" s="11">
        <v>172</v>
      </c>
      <c r="O11" s="13">
        <v>168</v>
      </c>
      <c r="P11" s="13">
        <v>189</v>
      </c>
      <c r="Q11" s="13"/>
      <c r="R11" s="3">
        <v>94</v>
      </c>
      <c r="T11" s="31"/>
      <c r="U11" s="31"/>
    </row>
    <row r="12" spans="2:25" ht="24" customHeight="1" x14ac:dyDescent="0.25">
      <c r="B12" s="2"/>
      <c r="C12" s="11"/>
      <c r="D12" s="11"/>
      <c r="E12" s="6"/>
      <c r="F12" s="11">
        <v>55</v>
      </c>
      <c r="G12" s="11"/>
      <c r="H12" s="11">
        <v>202</v>
      </c>
      <c r="I12" s="11"/>
      <c r="J12" s="11"/>
      <c r="K12" s="11"/>
      <c r="L12" s="11"/>
      <c r="M12" s="11"/>
      <c r="N12" s="11"/>
      <c r="O12" s="13"/>
      <c r="P12" s="13"/>
      <c r="Q12" s="13"/>
      <c r="R12" s="3"/>
      <c r="T12" s="31"/>
      <c r="U12" s="31"/>
    </row>
    <row r="13" spans="2:25" ht="48" customHeight="1" x14ac:dyDescent="0.25">
      <c r="C13" s="11"/>
      <c r="D13" s="11">
        <v>14</v>
      </c>
      <c r="E13" s="11"/>
      <c r="F13" s="11">
        <v>181</v>
      </c>
      <c r="G13" s="11"/>
      <c r="H13" s="11">
        <v>99</v>
      </c>
      <c r="I13" s="11"/>
      <c r="J13" s="11">
        <v>180</v>
      </c>
      <c r="K13" s="11"/>
      <c r="L13" s="11">
        <v>113</v>
      </c>
      <c r="M13" s="11"/>
      <c r="N13" s="10">
        <v>4</v>
      </c>
      <c r="O13" s="12">
        <v>70</v>
      </c>
      <c r="P13" s="13">
        <v>113</v>
      </c>
      <c r="Q13" s="13"/>
    </row>
    <row r="14" spans="2:25" ht="24" customHeight="1" x14ac:dyDescent="0.25">
      <c r="B14" s="2"/>
      <c r="C14" s="11"/>
      <c r="D14" s="11">
        <v>1</v>
      </c>
      <c r="E14" s="11"/>
      <c r="F14" s="11">
        <v>0</v>
      </c>
      <c r="G14" s="11"/>
      <c r="H14" s="11">
        <v>39</v>
      </c>
      <c r="I14" s="11"/>
      <c r="J14" s="11">
        <v>163</v>
      </c>
      <c r="K14" s="11"/>
      <c r="L14" s="11">
        <v>0</v>
      </c>
      <c r="M14" s="11"/>
      <c r="N14" s="14">
        <v>115</v>
      </c>
      <c r="O14" s="14">
        <v>39</v>
      </c>
      <c r="P14" s="15">
        <v>69</v>
      </c>
      <c r="Q14" s="15"/>
      <c r="R14" s="2"/>
    </row>
    <row r="15" spans="2:25" ht="24" customHeight="1" x14ac:dyDescent="0.25">
      <c r="B15" s="2"/>
      <c r="C15" s="11"/>
      <c r="D15" s="11">
        <v>5</v>
      </c>
      <c r="E15" s="11"/>
      <c r="F15" s="11">
        <v>1</v>
      </c>
      <c r="G15" s="11"/>
      <c r="H15" s="11"/>
      <c r="I15" s="11"/>
      <c r="J15" s="10"/>
      <c r="K15" s="10"/>
      <c r="L15" s="10"/>
      <c r="M15" s="10"/>
      <c r="N15" s="14"/>
      <c r="O15" s="14">
        <v>24</v>
      </c>
      <c r="P15" s="15">
        <v>38</v>
      </c>
      <c r="Q15" s="15"/>
      <c r="R15" s="2"/>
    </row>
    <row r="16" spans="2:25" ht="12" customHeight="1" x14ac:dyDescent="0.25">
      <c r="B16" s="2"/>
      <c r="C16" s="2"/>
      <c r="D16" s="15">
        <v>15</v>
      </c>
      <c r="E16" s="15"/>
      <c r="F16" s="15">
        <v>17</v>
      </c>
      <c r="G16" s="15"/>
      <c r="H16" s="15">
        <v>5</v>
      </c>
      <c r="I16" s="15"/>
      <c r="J16" s="15">
        <v>1</v>
      </c>
      <c r="K16" s="15">
        <v>117</v>
      </c>
      <c r="L16" s="15"/>
      <c r="M16" s="15">
        <v>131</v>
      </c>
      <c r="N16" s="15">
        <v>177</v>
      </c>
      <c r="O16" s="15">
        <v>51</v>
      </c>
      <c r="P16" s="27">
        <v>115</v>
      </c>
      <c r="Q16" s="28"/>
    </row>
    <row r="17" spans="2:19" ht="12" customHeight="1" x14ac:dyDescent="0.25">
      <c r="B17" s="2"/>
      <c r="C17" s="2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27"/>
      <c r="Q17" s="28"/>
    </row>
    <row r="18" spans="2:19" ht="12" customHeight="1" x14ac:dyDescent="0.25">
      <c r="B18" s="2"/>
      <c r="C18" s="2"/>
      <c r="D18" s="15"/>
      <c r="E18" s="15"/>
      <c r="F18" s="15"/>
      <c r="G18" s="15"/>
      <c r="H18" s="15"/>
      <c r="I18" s="15"/>
      <c r="J18" s="15"/>
      <c r="K18" s="15"/>
      <c r="L18" s="15">
        <v>64</v>
      </c>
      <c r="M18" s="15"/>
      <c r="N18" s="15"/>
      <c r="O18" s="15">
        <v>53</v>
      </c>
      <c r="P18" s="27"/>
      <c r="Q18" s="28"/>
    </row>
    <row r="19" spans="2:19" ht="12" customHeight="1" x14ac:dyDescent="0.25">
      <c r="B19" s="2"/>
      <c r="C19" s="2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24"/>
      <c r="Q19" s="28"/>
    </row>
    <row r="20" spans="2:19" ht="24" customHeight="1" x14ac:dyDescent="0.25">
      <c r="B20" s="2"/>
      <c r="C20" s="2"/>
      <c r="D20" s="15">
        <v>9</v>
      </c>
      <c r="E20" s="15"/>
      <c r="F20" s="15">
        <v>5</v>
      </c>
      <c r="G20" s="16"/>
      <c r="H20" s="15">
        <v>2</v>
      </c>
      <c r="I20" s="15"/>
      <c r="J20" s="15">
        <v>38</v>
      </c>
      <c r="K20" s="15"/>
      <c r="L20" s="15">
        <v>112</v>
      </c>
      <c r="M20" s="15"/>
      <c r="N20" s="15">
        <v>269</v>
      </c>
      <c r="O20" s="15">
        <v>47</v>
      </c>
      <c r="P20" s="15">
        <v>96</v>
      </c>
      <c r="Q20" s="2"/>
    </row>
    <row r="21" spans="2:19" ht="24" customHeight="1" x14ac:dyDescent="0.25">
      <c r="B21" s="2"/>
      <c r="C21" s="2"/>
      <c r="D21" s="2"/>
      <c r="E21" s="2"/>
      <c r="H21" s="17"/>
      <c r="I21" s="17"/>
      <c r="J21" s="17"/>
      <c r="K21" s="17"/>
      <c r="L21" s="17"/>
      <c r="M21" s="17"/>
      <c r="N21" s="17"/>
      <c r="O21" s="17"/>
      <c r="P21" s="17"/>
      <c r="Q21" s="2"/>
    </row>
    <row r="22" spans="2:19" ht="24" customHeight="1" x14ac:dyDescent="0.25">
      <c r="B22" s="2"/>
      <c r="C22" s="2"/>
      <c r="D22" s="2"/>
      <c r="E22" s="2"/>
      <c r="F22" s="2"/>
      <c r="G22" s="15">
        <v>13</v>
      </c>
      <c r="H22" s="15">
        <v>11</v>
      </c>
      <c r="I22" s="15"/>
      <c r="J22" s="15">
        <v>2</v>
      </c>
      <c r="K22" s="15"/>
      <c r="L22" s="15">
        <v>16</v>
      </c>
      <c r="M22" s="15"/>
      <c r="N22" s="15">
        <v>15</v>
      </c>
      <c r="O22" s="15">
        <v>214</v>
      </c>
      <c r="P22" s="15">
        <v>174</v>
      </c>
      <c r="Q22" s="15"/>
      <c r="R22" s="15">
        <v>97</v>
      </c>
      <c r="S22" s="14">
        <v>75</v>
      </c>
    </row>
    <row r="23" spans="2:19" ht="24" customHeight="1" x14ac:dyDescent="0.25">
      <c r="B23" s="2"/>
      <c r="C23" s="2"/>
      <c r="D23" s="2"/>
      <c r="E23" s="2"/>
      <c r="F23" s="2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4">
        <v>173</v>
      </c>
    </row>
    <row r="24" spans="2:19" ht="24" customHeight="1" x14ac:dyDescent="0.25">
      <c r="K24" s="14">
        <v>11</v>
      </c>
      <c r="L24" s="15"/>
      <c r="M24" s="15"/>
      <c r="N24" s="14">
        <v>1</v>
      </c>
      <c r="O24" s="18">
        <v>20</v>
      </c>
      <c r="P24" s="15">
        <v>81</v>
      </c>
      <c r="Q24" s="16"/>
      <c r="R24" s="15">
        <v>450</v>
      </c>
      <c r="S24" s="15"/>
    </row>
    <row r="25" spans="2:19" ht="24" customHeight="1" x14ac:dyDescent="0.25">
      <c r="P25" s="15"/>
      <c r="Q25" s="16"/>
      <c r="R25" s="15"/>
      <c r="S25" s="15"/>
    </row>
    <row r="26" spans="2:19" x14ac:dyDescent="0.25">
      <c r="R26" s="15"/>
      <c r="S26" s="15"/>
    </row>
    <row r="27" spans="2:19" x14ac:dyDescent="0.25">
      <c r="R27" s="15"/>
      <c r="S27" s="15"/>
    </row>
    <row r="28" spans="2:19" x14ac:dyDescent="0.25">
      <c r="R28" s="15"/>
      <c r="S28" s="15"/>
    </row>
    <row r="29" spans="2:19" x14ac:dyDescent="0.25">
      <c r="R29" s="15"/>
      <c r="S29" s="15"/>
    </row>
    <row r="30" spans="2:19" x14ac:dyDescent="0.25">
      <c r="R30" s="15"/>
      <c r="S30" s="15"/>
    </row>
  </sheetData>
  <mergeCells count="114">
    <mergeCell ref="Y7:Y10"/>
    <mergeCell ref="L24:M24"/>
    <mergeCell ref="P24:Q25"/>
    <mergeCell ref="R24:S30"/>
    <mergeCell ref="P16:P19"/>
    <mergeCell ref="Q16:Q19"/>
    <mergeCell ref="J22:K23"/>
    <mergeCell ref="L22:M23"/>
    <mergeCell ref="N22:N23"/>
    <mergeCell ref="O22:O23"/>
    <mergeCell ref="P22:Q23"/>
    <mergeCell ref="R22:R23"/>
    <mergeCell ref="B22:B23"/>
    <mergeCell ref="C22:C23"/>
    <mergeCell ref="D22:E23"/>
    <mergeCell ref="F22:F23"/>
    <mergeCell ref="G22:G23"/>
    <mergeCell ref="H22:I23"/>
    <mergeCell ref="L20:M21"/>
    <mergeCell ref="N20:N21"/>
    <mergeCell ref="O20:O21"/>
    <mergeCell ref="P20:P21"/>
    <mergeCell ref="Q20:Q21"/>
    <mergeCell ref="D21:E21"/>
    <mergeCell ref="B20:B21"/>
    <mergeCell ref="C20:C21"/>
    <mergeCell ref="D20:E20"/>
    <mergeCell ref="F20:G20"/>
    <mergeCell ref="H20:I21"/>
    <mergeCell ref="J20:K21"/>
    <mergeCell ref="K16:K19"/>
    <mergeCell ref="L16:L17"/>
    <mergeCell ref="M16:M19"/>
    <mergeCell ref="N16:N19"/>
    <mergeCell ref="O16:O17"/>
    <mergeCell ref="L18:L19"/>
    <mergeCell ref="O18:O19"/>
    <mergeCell ref="B16:B19"/>
    <mergeCell ref="C16:C19"/>
    <mergeCell ref="D16:E19"/>
    <mergeCell ref="F16:G19"/>
    <mergeCell ref="H16:I19"/>
    <mergeCell ref="J16:J17"/>
    <mergeCell ref="J18:J19"/>
    <mergeCell ref="J14:K14"/>
    <mergeCell ref="L14:M14"/>
    <mergeCell ref="P14:Q14"/>
    <mergeCell ref="R14:R15"/>
    <mergeCell ref="D15:E15"/>
    <mergeCell ref="F15:G15"/>
    <mergeCell ref="H15:I15"/>
    <mergeCell ref="P15:Q15"/>
    <mergeCell ref="F12:G12"/>
    <mergeCell ref="H12:I12"/>
    <mergeCell ref="D13:E13"/>
    <mergeCell ref="F13:G13"/>
    <mergeCell ref="H13:I13"/>
    <mergeCell ref="J13:K13"/>
    <mergeCell ref="L13:M13"/>
    <mergeCell ref="P13:Q13"/>
    <mergeCell ref="J11:K12"/>
    <mergeCell ref="L11:M12"/>
    <mergeCell ref="N11:N12"/>
    <mergeCell ref="O11:O12"/>
    <mergeCell ref="P11:Q12"/>
    <mergeCell ref="R11:R12"/>
    <mergeCell ref="B11:B12"/>
    <mergeCell ref="C11:C15"/>
    <mergeCell ref="D11:D12"/>
    <mergeCell ref="E11:E12"/>
    <mergeCell ref="F11:G11"/>
    <mergeCell ref="H11:I11"/>
    <mergeCell ref="B14:B15"/>
    <mergeCell ref="D14:E14"/>
    <mergeCell ref="F14:G14"/>
    <mergeCell ref="H14:I14"/>
    <mergeCell ref="U7:U10"/>
    <mergeCell ref="V7:V10"/>
    <mergeCell ref="W7:W10"/>
    <mergeCell ref="X7:X10"/>
    <mergeCell ref="D9:D10"/>
    <mergeCell ref="E9:E10"/>
    <mergeCell ref="H10:I10"/>
    <mergeCell ref="L7:M10"/>
    <mergeCell ref="N7:N10"/>
    <mergeCell ref="O7:O10"/>
    <mergeCell ref="P7:Q10"/>
    <mergeCell ref="R7:R10"/>
    <mergeCell ref="T7:T10"/>
    <mergeCell ref="B7:B10"/>
    <mergeCell ref="C7:C10"/>
    <mergeCell ref="D7:E8"/>
    <mergeCell ref="F7:G10"/>
    <mergeCell ref="H7:I9"/>
    <mergeCell ref="J7:K10"/>
    <mergeCell ref="D6:E6"/>
    <mergeCell ref="F6:G6"/>
    <mergeCell ref="H6:I6"/>
    <mergeCell ref="J6:K6"/>
    <mergeCell ref="L6:M6"/>
    <mergeCell ref="P6:Q6"/>
    <mergeCell ref="D5:E5"/>
    <mergeCell ref="F5:G5"/>
    <mergeCell ref="H5:I5"/>
    <mergeCell ref="J5:K5"/>
    <mergeCell ref="L5:M5"/>
    <mergeCell ref="P5:Q5"/>
    <mergeCell ref="B3:Q3"/>
    <mergeCell ref="B4:E4"/>
    <mergeCell ref="F4:G4"/>
    <mergeCell ref="H4:I4"/>
    <mergeCell ref="J4:K4"/>
    <mergeCell ref="L4:N4"/>
    <mergeCell ref="P4:Q4"/>
  </mergeCells>
  <pageMargins left="0.7" right="0.7" top="0.75" bottom="0.75" header="0.3" footer="0.3"/>
  <pageSetup scale="61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Y30"/>
  <sheetViews>
    <sheetView tabSelected="1" workbookViewId="0">
      <selection sqref="A1:Y30"/>
    </sheetView>
  </sheetViews>
  <sheetFormatPr defaultRowHeight="15" x14ac:dyDescent="0.25"/>
  <cols>
    <col min="1" max="1" width="3.28515625" style="1" customWidth="1"/>
    <col min="2" max="3" width="9.140625" style="1"/>
    <col min="4" max="13" width="4.5703125" style="1" customWidth="1"/>
    <col min="14" max="14" width="9.140625" style="1" customWidth="1"/>
    <col min="15" max="15" width="9.140625" style="1"/>
    <col min="16" max="17" width="4.5703125" style="1" customWidth="1"/>
    <col min="18" max="19" width="9.140625" style="1"/>
    <col min="20" max="26" width="15" style="1" customWidth="1"/>
    <col min="27" max="16384" width="9.140625" style="1"/>
  </cols>
  <sheetData>
    <row r="1" spans="2:25" ht="36" x14ac:dyDescent="0.25">
      <c r="B1" s="38" t="s">
        <v>12</v>
      </c>
    </row>
    <row r="2" spans="2:25" x14ac:dyDescent="0.25">
      <c r="T2" s="30" t="s">
        <v>5</v>
      </c>
      <c r="U2" s="30" t="s">
        <v>6</v>
      </c>
      <c r="V2" s="30" t="s">
        <v>7</v>
      </c>
      <c r="W2" s="30" t="s">
        <v>9</v>
      </c>
      <c r="X2" s="30" t="s">
        <v>8</v>
      </c>
      <c r="Y2" s="33" t="s">
        <v>10</v>
      </c>
    </row>
    <row r="3" spans="2:25" ht="48" customHeight="1" x14ac:dyDescent="0.25">
      <c r="B3" s="8">
        <v>1697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9"/>
      <c r="T3" s="29" t="s">
        <v>0</v>
      </c>
      <c r="U3" s="20">
        <f>SumByColor(T3,$B$3:$S$30)</f>
        <v>2099</v>
      </c>
      <c r="V3" s="20">
        <v>1800</v>
      </c>
      <c r="W3" s="20" t="str">
        <f>IF(V3-U3&gt;0,V3-U3, "")</f>
        <v/>
      </c>
      <c r="X3" s="20">
        <f>IF(U3-V3&gt;0,U3-V3,"")</f>
        <v>299</v>
      </c>
      <c r="Y3" s="34">
        <f>IFERROR(X3/V3,"")</f>
        <v>0.1661111111111111</v>
      </c>
    </row>
    <row r="4" spans="2:25" ht="48" customHeight="1" x14ac:dyDescent="0.25">
      <c r="B4" s="8"/>
      <c r="C4" s="19"/>
      <c r="D4" s="19"/>
      <c r="E4" s="9"/>
      <c r="F4" s="5">
        <v>12</v>
      </c>
      <c r="G4" s="5"/>
      <c r="H4" s="5"/>
      <c r="I4" s="5"/>
      <c r="J4" s="5">
        <v>120</v>
      </c>
      <c r="K4" s="5"/>
      <c r="L4" s="8"/>
      <c r="M4" s="19"/>
      <c r="N4" s="9"/>
      <c r="O4" s="4">
        <v>63</v>
      </c>
      <c r="P4" s="5"/>
      <c r="Q4" s="5"/>
      <c r="T4" s="4" t="s">
        <v>1</v>
      </c>
      <c r="U4" s="20">
        <f>SumByColor(T4,$B$3:$S$30)</f>
        <v>2130</v>
      </c>
      <c r="V4" s="20">
        <v>1800</v>
      </c>
      <c r="W4" s="20" t="str">
        <f t="shared" ref="W4:W6" si="0">IF(V4-U4&gt;0,V4-U4, "")</f>
        <v/>
      </c>
      <c r="X4" s="20">
        <f>IF(U4-V4&gt;0,U4-V4,"")</f>
        <v>330</v>
      </c>
      <c r="Y4" s="34">
        <f>IFERROR(X4/V4,"")</f>
        <v>0.18333333333333332</v>
      </c>
    </row>
    <row r="5" spans="2:25" ht="48" customHeight="1" x14ac:dyDescent="0.25">
      <c r="B5" s="4">
        <v>51</v>
      </c>
      <c r="C5" s="4">
        <v>27</v>
      </c>
      <c r="D5" s="6">
        <v>1</v>
      </c>
      <c r="E5" s="6"/>
      <c r="F5" s="6">
        <v>14</v>
      </c>
      <c r="G5" s="6"/>
      <c r="H5" s="6">
        <v>21</v>
      </c>
      <c r="I5" s="6"/>
      <c r="J5" s="6">
        <v>27</v>
      </c>
      <c r="K5" s="6"/>
      <c r="L5" s="5">
        <v>73</v>
      </c>
      <c r="M5" s="5"/>
      <c r="N5" s="4">
        <v>32</v>
      </c>
      <c r="O5" s="4"/>
      <c r="P5" s="5"/>
      <c r="Q5" s="5"/>
      <c r="R5" s="4">
        <v>55</v>
      </c>
      <c r="T5" s="10" t="s">
        <v>2</v>
      </c>
      <c r="U5" s="20">
        <f>SumByColor(T5,$B$3:$S$30)</f>
        <v>2584</v>
      </c>
      <c r="V5" s="20">
        <v>2400</v>
      </c>
      <c r="W5" s="20" t="str">
        <f t="shared" si="0"/>
        <v/>
      </c>
      <c r="X5" s="20">
        <f>IF(U5-V5&gt;0,U5-V5,"")</f>
        <v>184</v>
      </c>
      <c r="Y5" s="34">
        <f>IFERROR(X5/V5,"")</f>
        <v>7.6666666666666661E-2</v>
      </c>
    </row>
    <row r="6" spans="2:25" ht="48" customHeight="1" x14ac:dyDescent="0.25">
      <c r="B6" s="10"/>
      <c r="C6" s="10"/>
      <c r="D6" s="11">
        <v>1</v>
      </c>
      <c r="E6" s="11"/>
      <c r="F6" s="11">
        <v>2</v>
      </c>
      <c r="G6" s="11"/>
      <c r="H6" s="6">
        <v>377</v>
      </c>
      <c r="I6" s="6"/>
      <c r="J6" s="6">
        <v>296</v>
      </c>
      <c r="K6" s="6"/>
      <c r="L6" s="6">
        <v>165</v>
      </c>
      <c r="M6" s="6"/>
      <c r="N6" s="7">
        <v>298</v>
      </c>
      <c r="O6" s="12">
        <v>249</v>
      </c>
      <c r="P6" s="13">
        <v>121</v>
      </c>
      <c r="Q6" s="13"/>
      <c r="R6" s="12">
        <v>96</v>
      </c>
      <c r="T6" s="14" t="s">
        <v>3</v>
      </c>
      <c r="U6" s="20">
        <f>SumByColor(T6,$B$3:$S$30)</f>
        <v>2239</v>
      </c>
      <c r="V6" s="20">
        <v>1900</v>
      </c>
      <c r="W6" s="20" t="str">
        <f t="shared" si="0"/>
        <v/>
      </c>
      <c r="X6" s="20">
        <f>IF(U6-V6&gt;0,U6-V6,"")</f>
        <v>339</v>
      </c>
      <c r="Y6" s="34">
        <f>IFERROR(X6/V6,"")</f>
        <v>0.17842105263157895</v>
      </c>
    </row>
    <row r="7" spans="2:25" ht="12" customHeight="1" x14ac:dyDescent="0.25">
      <c r="B7" s="11"/>
      <c r="C7" s="11"/>
      <c r="D7" s="11">
        <v>11</v>
      </c>
      <c r="E7" s="11"/>
      <c r="F7" s="11">
        <v>6</v>
      </c>
      <c r="G7" s="11"/>
      <c r="H7" s="6">
        <v>229</v>
      </c>
      <c r="I7" s="6"/>
      <c r="J7" s="6">
        <v>244</v>
      </c>
      <c r="K7" s="6"/>
      <c r="L7" s="6">
        <v>425</v>
      </c>
      <c r="M7" s="6"/>
      <c r="N7" s="6">
        <v>213</v>
      </c>
      <c r="O7" s="13">
        <v>231</v>
      </c>
      <c r="P7" s="13">
        <v>332</v>
      </c>
      <c r="Q7" s="13"/>
      <c r="R7" s="13">
        <v>260</v>
      </c>
      <c r="T7" s="6" t="s">
        <v>4</v>
      </c>
      <c r="U7" s="21">
        <f>SumByColor(T7,$B$3:$S$30)</f>
        <v>2310</v>
      </c>
      <c r="V7" s="21">
        <v>1800</v>
      </c>
      <c r="W7" s="22" t="str">
        <f>IF(V7-U7&gt;0,V7-U7,"")</f>
        <v/>
      </c>
      <c r="X7" s="21">
        <f>IF(U7-V7&gt;0,U7-V7,"")</f>
        <v>510</v>
      </c>
      <c r="Y7" s="35">
        <f>IFERROR(X7/V7,"")</f>
        <v>0.28333333333333333</v>
      </c>
    </row>
    <row r="8" spans="2:25" ht="12" customHeight="1" x14ac:dyDescent="0.25">
      <c r="B8" s="11"/>
      <c r="C8" s="11"/>
      <c r="D8" s="11"/>
      <c r="E8" s="11"/>
      <c r="F8" s="11"/>
      <c r="G8" s="11"/>
      <c r="H8" s="6"/>
      <c r="I8" s="6"/>
      <c r="J8" s="6"/>
      <c r="K8" s="6"/>
      <c r="L8" s="6"/>
      <c r="M8" s="6"/>
      <c r="N8" s="6"/>
      <c r="O8" s="13"/>
      <c r="P8" s="13"/>
      <c r="Q8" s="13"/>
      <c r="R8" s="13"/>
      <c r="T8" s="6"/>
      <c r="U8" s="21"/>
      <c r="V8" s="21"/>
      <c r="W8" s="25"/>
      <c r="X8" s="21"/>
      <c r="Y8" s="36"/>
    </row>
    <row r="9" spans="2:25" ht="12" customHeight="1" x14ac:dyDescent="0.25">
      <c r="B9" s="11"/>
      <c r="C9" s="11"/>
      <c r="D9" s="11"/>
      <c r="E9" s="11">
        <v>34</v>
      </c>
      <c r="F9" s="11"/>
      <c r="G9" s="11"/>
      <c r="H9" s="6"/>
      <c r="I9" s="6"/>
      <c r="J9" s="6"/>
      <c r="K9" s="6"/>
      <c r="L9" s="6"/>
      <c r="M9" s="6"/>
      <c r="N9" s="6"/>
      <c r="O9" s="13"/>
      <c r="P9" s="13"/>
      <c r="Q9" s="13"/>
      <c r="R9" s="13"/>
      <c r="T9" s="6"/>
      <c r="U9" s="21"/>
      <c r="V9" s="21"/>
      <c r="W9" s="25"/>
      <c r="X9" s="21"/>
      <c r="Y9" s="36"/>
    </row>
    <row r="10" spans="2:25" ht="12" customHeight="1" x14ac:dyDescent="0.25">
      <c r="B10" s="11"/>
      <c r="C10" s="11"/>
      <c r="D10" s="11"/>
      <c r="E10" s="11"/>
      <c r="F10" s="11"/>
      <c r="G10" s="11"/>
      <c r="H10" s="11">
        <v>17</v>
      </c>
      <c r="I10" s="11"/>
      <c r="J10" s="6"/>
      <c r="K10" s="6"/>
      <c r="L10" s="6"/>
      <c r="M10" s="6"/>
      <c r="N10" s="6"/>
      <c r="O10" s="13"/>
      <c r="P10" s="13"/>
      <c r="Q10" s="13"/>
      <c r="R10" s="13"/>
      <c r="T10" s="6"/>
      <c r="U10" s="21"/>
      <c r="V10" s="21"/>
      <c r="W10" s="23"/>
      <c r="X10" s="21"/>
      <c r="Y10" s="37"/>
    </row>
    <row r="11" spans="2:25" ht="24" customHeight="1" x14ac:dyDescent="0.25">
      <c r="B11" s="2"/>
      <c r="C11" s="11">
        <v>2</v>
      </c>
      <c r="D11" s="11"/>
      <c r="E11" s="11">
        <v>91</v>
      </c>
      <c r="F11" s="11">
        <v>122</v>
      </c>
      <c r="G11" s="11"/>
      <c r="H11" s="11">
        <v>84</v>
      </c>
      <c r="I11" s="11"/>
      <c r="J11" s="11">
        <v>187</v>
      </c>
      <c r="K11" s="11"/>
      <c r="L11" s="11">
        <v>251</v>
      </c>
      <c r="M11" s="11"/>
      <c r="N11" s="13">
        <v>172</v>
      </c>
      <c r="O11" s="13">
        <v>168</v>
      </c>
      <c r="P11" s="13">
        <v>189</v>
      </c>
      <c r="Q11" s="13"/>
      <c r="R11" s="3">
        <v>94</v>
      </c>
      <c r="T11" s="31"/>
      <c r="U11" s="31"/>
    </row>
    <row r="12" spans="2:25" ht="24" customHeight="1" x14ac:dyDescent="0.25">
      <c r="B12" s="2"/>
      <c r="C12" s="11"/>
      <c r="D12" s="11"/>
      <c r="E12" s="11"/>
      <c r="F12" s="11">
        <v>55</v>
      </c>
      <c r="G12" s="11"/>
      <c r="H12" s="11">
        <v>202</v>
      </c>
      <c r="I12" s="11"/>
      <c r="J12" s="11"/>
      <c r="K12" s="11"/>
      <c r="L12" s="11"/>
      <c r="M12" s="11"/>
      <c r="N12" s="13"/>
      <c r="O12" s="13"/>
      <c r="P12" s="13"/>
      <c r="Q12" s="13"/>
      <c r="R12" s="3"/>
      <c r="T12" s="31"/>
      <c r="U12" s="31"/>
    </row>
    <row r="13" spans="2:25" ht="48" customHeight="1" x14ac:dyDescent="0.25">
      <c r="C13" s="11"/>
      <c r="D13" s="11">
        <v>14</v>
      </c>
      <c r="E13" s="11"/>
      <c r="F13" s="11">
        <v>181</v>
      </c>
      <c r="G13" s="11"/>
      <c r="H13" s="11">
        <v>99</v>
      </c>
      <c r="I13" s="11"/>
      <c r="J13" s="11">
        <v>180</v>
      </c>
      <c r="K13" s="11"/>
      <c r="L13" s="11">
        <v>113</v>
      </c>
      <c r="M13" s="11"/>
      <c r="N13" s="12">
        <v>4</v>
      </c>
      <c r="O13" s="12">
        <v>70</v>
      </c>
      <c r="P13" s="13">
        <v>113</v>
      </c>
      <c r="Q13" s="13"/>
    </row>
    <row r="14" spans="2:25" ht="24" customHeight="1" x14ac:dyDescent="0.25">
      <c r="B14" s="2"/>
      <c r="C14" s="11"/>
      <c r="D14" s="11">
        <v>1</v>
      </c>
      <c r="E14" s="11"/>
      <c r="F14" s="11">
        <v>0</v>
      </c>
      <c r="G14" s="11"/>
      <c r="H14" s="11">
        <v>39</v>
      </c>
      <c r="I14" s="11"/>
      <c r="J14" s="11">
        <v>163</v>
      </c>
      <c r="K14" s="11"/>
      <c r="L14" s="11">
        <v>0</v>
      </c>
      <c r="M14" s="11"/>
      <c r="N14" s="14">
        <v>115</v>
      </c>
      <c r="O14" s="14">
        <v>39</v>
      </c>
      <c r="P14" s="15">
        <v>69</v>
      </c>
      <c r="Q14" s="15"/>
      <c r="R14" s="2"/>
    </row>
    <row r="15" spans="2:25" ht="24" customHeight="1" x14ac:dyDescent="0.25">
      <c r="B15" s="2"/>
      <c r="C15" s="11"/>
      <c r="D15" s="11">
        <v>5</v>
      </c>
      <c r="E15" s="11"/>
      <c r="F15" s="11">
        <v>1</v>
      </c>
      <c r="G15" s="11"/>
      <c r="H15" s="11"/>
      <c r="I15" s="11"/>
      <c r="J15" s="10"/>
      <c r="K15" s="10"/>
      <c r="L15" s="10"/>
      <c r="M15" s="10"/>
      <c r="N15" s="14"/>
      <c r="O15" s="14">
        <v>24</v>
      </c>
      <c r="P15" s="15">
        <v>38</v>
      </c>
      <c r="Q15" s="15"/>
      <c r="R15" s="2"/>
    </row>
    <row r="16" spans="2:25" ht="12" customHeight="1" x14ac:dyDescent="0.25">
      <c r="B16" s="2"/>
      <c r="C16" s="2"/>
      <c r="D16" s="11">
        <v>15</v>
      </c>
      <c r="E16" s="11"/>
      <c r="F16" s="11">
        <v>17</v>
      </c>
      <c r="G16" s="11"/>
      <c r="H16" s="11">
        <v>5</v>
      </c>
      <c r="I16" s="11"/>
      <c r="J16" s="11">
        <v>1</v>
      </c>
      <c r="K16" s="11">
        <v>117</v>
      </c>
      <c r="L16" s="11"/>
      <c r="M16" s="15">
        <v>131</v>
      </c>
      <c r="N16" s="15">
        <v>177</v>
      </c>
      <c r="O16" s="15">
        <v>51</v>
      </c>
      <c r="P16" s="27">
        <v>115</v>
      </c>
      <c r="Q16" s="28"/>
    </row>
    <row r="17" spans="2:19" ht="12" customHeight="1" x14ac:dyDescent="0.25">
      <c r="B17" s="2"/>
      <c r="C17" s="2"/>
      <c r="D17" s="11"/>
      <c r="E17" s="11"/>
      <c r="F17" s="11"/>
      <c r="G17" s="11"/>
      <c r="H17" s="11"/>
      <c r="I17" s="11"/>
      <c r="J17" s="11"/>
      <c r="K17" s="11"/>
      <c r="L17" s="11"/>
      <c r="M17" s="15"/>
      <c r="N17" s="15"/>
      <c r="O17" s="15"/>
      <c r="P17" s="27"/>
      <c r="Q17" s="28"/>
    </row>
    <row r="18" spans="2:19" ht="12" customHeight="1" x14ac:dyDescent="0.25">
      <c r="B18" s="2"/>
      <c r="C18" s="2"/>
      <c r="D18" s="11"/>
      <c r="E18" s="11"/>
      <c r="F18" s="11"/>
      <c r="G18" s="11"/>
      <c r="H18" s="11"/>
      <c r="I18" s="11"/>
      <c r="J18" s="11"/>
      <c r="K18" s="11"/>
      <c r="L18" s="11">
        <v>64</v>
      </c>
      <c r="M18" s="15"/>
      <c r="N18" s="15"/>
      <c r="O18" s="15">
        <v>53</v>
      </c>
      <c r="P18" s="27"/>
      <c r="Q18" s="28"/>
    </row>
    <row r="19" spans="2:19" ht="12" customHeight="1" x14ac:dyDescent="0.25">
      <c r="B19" s="2"/>
      <c r="C19" s="2"/>
      <c r="D19" s="11"/>
      <c r="E19" s="11"/>
      <c r="F19" s="11"/>
      <c r="G19" s="11"/>
      <c r="H19" s="11"/>
      <c r="I19" s="11"/>
      <c r="J19" s="11"/>
      <c r="K19" s="11"/>
      <c r="L19" s="11"/>
      <c r="M19" s="15"/>
      <c r="N19" s="15"/>
      <c r="O19" s="15"/>
      <c r="P19" s="24"/>
      <c r="Q19" s="28"/>
    </row>
    <row r="20" spans="2:19" ht="24" customHeight="1" x14ac:dyDescent="0.25">
      <c r="B20" s="2"/>
      <c r="C20" s="2"/>
      <c r="D20" s="11">
        <v>9</v>
      </c>
      <c r="E20" s="11"/>
      <c r="F20" s="11">
        <v>5</v>
      </c>
      <c r="G20" s="32"/>
      <c r="H20" s="11">
        <v>2</v>
      </c>
      <c r="I20" s="11"/>
      <c r="J20" s="11">
        <v>38</v>
      </c>
      <c r="K20" s="11"/>
      <c r="L20" s="11">
        <v>112</v>
      </c>
      <c r="M20" s="11"/>
      <c r="N20" s="11">
        <v>269</v>
      </c>
      <c r="O20" s="15">
        <v>47</v>
      </c>
      <c r="P20" s="15">
        <v>96</v>
      </c>
      <c r="Q20" s="2"/>
    </row>
    <row r="21" spans="2:19" ht="24" customHeight="1" x14ac:dyDescent="0.25">
      <c r="B21" s="2"/>
      <c r="C21" s="2"/>
      <c r="D21" s="2"/>
      <c r="E21" s="2"/>
      <c r="H21" s="26"/>
      <c r="I21" s="26"/>
      <c r="J21" s="26"/>
      <c r="K21" s="26"/>
      <c r="L21" s="26"/>
      <c r="M21" s="26"/>
      <c r="N21" s="26"/>
      <c r="O21" s="17"/>
      <c r="P21" s="17"/>
      <c r="Q21" s="2"/>
    </row>
    <row r="22" spans="2:19" ht="24" customHeight="1" x14ac:dyDescent="0.25">
      <c r="B22" s="2"/>
      <c r="C22" s="2"/>
      <c r="D22" s="2"/>
      <c r="E22" s="2"/>
      <c r="F22" s="2"/>
      <c r="G22" s="11">
        <v>13</v>
      </c>
      <c r="H22" s="11">
        <v>11</v>
      </c>
      <c r="I22" s="11"/>
      <c r="J22" s="11">
        <v>2</v>
      </c>
      <c r="K22" s="11"/>
      <c r="L22" s="11">
        <v>16</v>
      </c>
      <c r="M22" s="11"/>
      <c r="N22" s="11">
        <v>15</v>
      </c>
      <c r="O22" s="15">
        <v>214</v>
      </c>
      <c r="P22" s="15">
        <v>174</v>
      </c>
      <c r="Q22" s="15"/>
      <c r="R22" s="15">
        <v>97</v>
      </c>
      <c r="S22" s="14">
        <v>75</v>
      </c>
    </row>
    <row r="23" spans="2:19" ht="24" customHeight="1" x14ac:dyDescent="0.25">
      <c r="B23" s="2"/>
      <c r="C23" s="2"/>
      <c r="D23" s="2"/>
      <c r="E23" s="2"/>
      <c r="F23" s="2"/>
      <c r="G23" s="11"/>
      <c r="H23" s="11"/>
      <c r="I23" s="11"/>
      <c r="J23" s="11"/>
      <c r="K23" s="11"/>
      <c r="L23" s="11"/>
      <c r="M23" s="11"/>
      <c r="N23" s="11"/>
      <c r="O23" s="15"/>
      <c r="P23" s="15"/>
      <c r="Q23" s="15"/>
      <c r="R23" s="15"/>
      <c r="S23" s="14">
        <v>173</v>
      </c>
    </row>
    <row r="24" spans="2:19" ht="24" customHeight="1" x14ac:dyDescent="0.25">
      <c r="K24" s="10">
        <v>11</v>
      </c>
      <c r="L24" s="11"/>
      <c r="M24" s="11"/>
      <c r="N24" s="10">
        <v>1</v>
      </c>
      <c r="O24" s="18">
        <v>20</v>
      </c>
      <c r="P24" s="15">
        <v>81</v>
      </c>
      <c r="Q24" s="16"/>
      <c r="R24" s="15">
        <v>450</v>
      </c>
      <c r="S24" s="15"/>
    </row>
    <row r="25" spans="2:19" ht="24" customHeight="1" x14ac:dyDescent="0.25">
      <c r="P25" s="15"/>
      <c r="Q25" s="16"/>
      <c r="R25" s="15"/>
      <c r="S25" s="15"/>
    </row>
    <row r="26" spans="2:19" x14ac:dyDescent="0.25">
      <c r="R26" s="15"/>
      <c r="S26" s="15"/>
    </row>
    <row r="27" spans="2:19" x14ac:dyDescent="0.25">
      <c r="R27" s="15"/>
      <c r="S27" s="15"/>
    </row>
    <row r="28" spans="2:19" x14ac:dyDescent="0.25">
      <c r="R28" s="15"/>
      <c r="S28" s="15"/>
    </row>
    <row r="29" spans="2:19" x14ac:dyDescent="0.25">
      <c r="R29" s="15"/>
      <c r="S29" s="15"/>
    </row>
    <row r="30" spans="2:19" x14ac:dyDescent="0.25">
      <c r="R30" s="15"/>
      <c r="S30" s="15"/>
    </row>
  </sheetData>
  <mergeCells count="114">
    <mergeCell ref="L24:M24"/>
    <mergeCell ref="P24:Q25"/>
    <mergeCell ref="R24:S30"/>
    <mergeCell ref="Y7:Y10"/>
    <mergeCell ref="J22:K23"/>
    <mergeCell ref="L22:M23"/>
    <mergeCell ref="N22:N23"/>
    <mergeCell ref="O22:O23"/>
    <mergeCell ref="P22:Q23"/>
    <mergeCell ref="R22:R23"/>
    <mergeCell ref="B22:B23"/>
    <mergeCell ref="C22:C23"/>
    <mergeCell ref="D22:E23"/>
    <mergeCell ref="F22:F23"/>
    <mergeCell ref="G22:G23"/>
    <mergeCell ref="H22:I23"/>
    <mergeCell ref="L20:M21"/>
    <mergeCell ref="N20:N21"/>
    <mergeCell ref="O20:O21"/>
    <mergeCell ref="P20:P21"/>
    <mergeCell ref="Q20:Q21"/>
    <mergeCell ref="D21:E21"/>
    <mergeCell ref="Q16:Q19"/>
    <mergeCell ref="J18:J19"/>
    <mergeCell ref="L18:L19"/>
    <mergeCell ref="O18:O19"/>
    <mergeCell ref="B20:B21"/>
    <mergeCell ref="C20:C21"/>
    <mergeCell ref="D20:E20"/>
    <mergeCell ref="F20:G20"/>
    <mergeCell ref="H20:I21"/>
    <mergeCell ref="J20:K21"/>
    <mergeCell ref="K16:K19"/>
    <mergeCell ref="L16:L17"/>
    <mergeCell ref="M16:M19"/>
    <mergeCell ref="N16:N19"/>
    <mergeCell ref="O16:O17"/>
    <mergeCell ref="P16:P19"/>
    <mergeCell ref="B16:B19"/>
    <mergeCell ref="C16:C19"/>
    <mergeCell ref="D16:E19"/>
    <mergeCell ref="F16:G19"/>
    <mergeCell ref="H16:I19"/>
    <mergeCell ref="J16:J17"/>
    <mergeCell ref="P14:Q14"/>
    <mergeCell ref="R14:R15"/>
    <mergeCell ref="D15:E15"/>
    <mergeCell ref="F15:G15"/>
    <mergeCell ref="H15:I15"/>
    <mergeCell ref="P15:Q15"/>
    <mergeCell ref="H13:I13"/>
    <mergeCell ref="J13:K13"/>
    <mergeCell ref="L13:M13"/>
    <mergeCell ref="P13:Q13"/>
    <mergeCell ref="B14:B15"/>
    <mergeCell ref="D14:E14"/>
    <mergeCell ref="F14:G14"/>
    <mergeCell ref="H14:I14"/>
    <mergeCell ref="J14:K14"/>
    <mergeCell ref="L14:M14"/>
    <mergeCell ref="J11:K12"/>
    <mergeCell ref="L11:M12"/>
    <mergeCell ref="N11:N12"/>
    <mergeCell ref="O11:O12"/>
    <mergeCell ref="P11:Q12"/>
    <mergeCell ref="R11:R12"/>
    <mergeCell ref="B11:B12"/>
    <mergeCell ref="C11:C15"/>
    <mergeCell ref="D11:D12"/>
    <mergeCell ref="E11:E12"/>
    <mergeCell ref="F11:G11"/>
    <mergeCell ref="H11:I11"/>
    <mergeCell ref="F12:G12"/>
    <mergeCell ref="H12:I12"/>
    <mergeCell ref="D13:E13"/>
    <mergeCell ref="F13:G13"/>
    <mergeCell ref="U7:U10"/>
    <mergeCell ref="V7:V10"/>
    <mergeCell ref="W7:W10"/>
    <mergeCell ref="X7:X10"/>
    <mergeCell ref="D9:D10"/>
    <mergeCell ref="E9:E10"/>
    <mergeCell ref="H10:I10"/>
    <mergeCell ref="L7:M10"/>
    <mergeCell ref="N7:N10"/>
    <mergeCell ref="O7:O10"/>
    <mergeCell ref="P7:Q10"/>
    <mergeCell ref="R7:R10"/>
    <mergeCell ref="T7:T10"/>
    <mergeCell ref="B7:B10"/>
    <mergeCell ref="C7:C10"/>
    <mergeCell ref="D7:E8"/>
    <mergeCell ref="F7:G10"/>
    <mergeCell ref="H7:I9"/>
    <mergeCell ref="J7:K10"/>
    <mergeCell ref="D6:E6"/>
    <mergeCell ref="F6:G6"/>
    <mergeCell ref="H6:I6"/>
    <mergeCell ref="J6:K6"/>
    <mergeCell ref="L6:M6"/>
    <mergeCell ref="P6:Q6"/>
    <mergeCell ref="D5:E5"/>
    <mergeCell ref="F5:G5"/>
    <mergeCell ref="H5:I5"/>
    <mergeCell ref="J5:K5"/>
    <mergeCell ref="L5:M5"/>
    <mergeCell ref="P5:Q5"/>
    <mergeCell ref="B3:Q3"/>
    <mergeCell ref="B4:E4"/>
    <mergeCell ref="F4:G4"/>
    <mergeCell ref="H4:I4"/>
    <mergeCell ref="J4:K4"/>
    <mergeCell ref="L4:N4"/>
    <mergeCell ref="P4:Q4"/>
  </mergeCells>
  <pageMargins left="0.7" right="0.7" top="0.75" bottom="0.75" header="0.3" footer="0.3"/>
  <pageSetup scale="61" fitToHeight="0" orientation="landscape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High School Boundries</vt:lpstr>
      <vt:lpstr>Purposed High School Boundries</vt:lpstr>
      <vt:lpstr>'Current High School Boundries'!Print_Area</vt:lpstr>
      <vt:lpstr>'Purposed High School Boundries'!Print_Area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Riley</dc:creator>
  <cp:lastModifiedBy>Ryan Riley</cp:lastModifiedBy>
  <cp:lastPrinted>2016-01-07T07:49:04Z</cp:lastPrinted>
  <dcterms:created xsi:type="dcterms:W3CDTF">2016-01-07T04:18:05Z</dcterms:created>
  <dcterms:modified xsi:type="dcterms:W3CDTF">2016-01-07T07:49:39Z</dcterms:modified>
</cp:coreProperties>
</file>