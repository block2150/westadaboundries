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ww\Projects\westadaboundries\downloads\"/>
    </mc:Choice>
  </mc:AlternateContent>
  <bookViews>
    <workbookView xWindow="0" yWindow="0" windowWidth="30720" windowHeight="13380" activeTab="1"/>
  </bookViews>
  <sheets>
    <sheet name="Alternate MS Boundaries" sheetId="5" r:id="rId1"/>
    <sheet name="Alternat High School Boundaries" sheetId="7" r:id="rId2"/>
  </sheets>
  <functionGroups builtInGroupCount="18"/>
  <definedNames>
    <definedName name="_xlnm.Print_Area" localSheetId="1">'Alternat High School Boundaries'!$A$2:$Y$31</definedName>
    <definedName name="_xlnm.Print_Area" localSheetId="0">'Alternate MS Boundaries'!$A$2:$AA$31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5" i="5" l="1"/>
  <c r="AA14" i="5"/>
  <c r="AA12" i="5"/>
  <c r="AA8" i="5"/>
  <c r="Z14" i="5"/>
  <c r="Z12" i="5"/>
  <c r="Z15" i="5"/>
  <c r="Z8" i="5"/>
  <c r="Y15" i="5"/>
  <c r="Y14" i="5"/>
  <c r="Y12" i="5"/>
  <c r="Y8" i="5"/>
  <c r="AA5" i="5"/>
  <c r="AA6" i="5"/>
  <c r="AA7" i="5"/>
  <c r="AA4" i="5"/>
  <c r="Z6" i="5"/>
  <c r="Z5" i="5"/>
  <c r="Z7" i="5"/>
  <c r="Z4" i="5"/>
  <c r="Y5" i="5"/>
  <c r="Y6" i="5"/>
  <c r="Y7" i="5"/>
  <c r="Y4" i="5"/>
  <c r="X4" i="5"/>
  <c r="X8" i="5"/>
  <c r="X7" i="5"/>
  <c r="X12" i="5"/>
  <c r="X6" i="5"/>
  <c r="X5" i="5"/>
  <c r="X15" i="5"/>
  <c r="X14" i="5"/>
  <c r="U6" i="7"/>
  <c r="U8" i="7"/>
  <c r="U4" i="7"/>
  <c r="U7" i="7"/>
  <c r="U5" i="7"/>
  <c r="AC12" i="5" l="1"/>
  <c r="AD12" i="5" s="1"/>
  <c r="AB12" i="5"/>
  <c r="AC14" i="5"/>
  <c r="AD14" i="5" s="1"/>
  <c r="AB14" i="5"/>
  <c r="AB15" i="5"/>
  <c r="AC15" i="5"/>
  <c r="AD15" i="5" s="1"/>
  <c r="AC4" i="5"/>
  <c r="X5" i="7"/>
  <c r="Y5" i="7" s="1"/>
  <c r="W5" i="7"/>
  <c r="W7" i="7"/>
  <c r="X7" i="7"/>
  <c r="Y7" i="7" s="1"/>
  <c r="X4" i="7"/>
  <c r="Y4" i="7" s="1"/>
  <c r="W4" i="7"/>
  <c r="X8" i="7"/>
  <c r="Y8" i="7" s="1"/>
  <c r="W8" i="7"/>
  <c r="X6" i="7"/>
  <c r="Y6" i="7" s="1"/>
  <c r="W6" i="7"/>
  <c r="AB7" i="5" l="1"/>
  <c r="AB4" i="5"/>
  <c r="AB6" i="5"/>
  <c r="AB5" i="5"/>
  <c r="AB8" i="5"/>
  <c r="AD4" i="5"/>
  <c r="AC8" i="5"/>
  <c r="AD8" i="5" s="1"/>
  <c r="AC5" i="5"/>
  <c r="AD5" i="5" s="1"/>
  <c r="AC7" i="5"/>
  <c r="AD7" i="5" s="1"/>
  <c r="AC6" i="5"/>
  <c r="AD6" i="5" s="1"/>
</calcChain>
</file>

<file path=xl/sharedStrings.xml><?xml version="1.0" encoding="utf-8"?>
<sst xmlns="http://schemas.openxmlformats.org/spreadsheetml/2006/main" count="34" uniqueCount="25">
  <si>
    <t>CHS</t>
  </si>
  <si>
    <t>EHS</t>
  </si>
  <si>
    <t>MHS</t>
  </si>
  <si>
    <t>MVHS</t>
  </si>
  <si>
    <t>RMHS</t>
  </si>
  <si>
    <t>School</t>
  </si>
  <si>
    <t>Enrollment</t>
  </si>
  <si>
    <t>Capacity</t>
  </si>
  <si>
    <t>Overage</t>
  </si>
  <si>
    <t>Under</t>
  </si>
  <si>
    <t>Overage %</t>
  </si>
  <si>
    <t>Alternate Plan</t>
  </si>
  <si>
    <t>Eagle</t>
  </si>
  <si>
    <t>Lake Hazel</t>
  </si>
  <si>
    <t>Lewis &amp; Clark</t>
  </si>
  <si>
    <t>Lowell Scott</t>
  </si>
  <si>
    <t>Meridian</t>
  </si>
  <si>
    <t>Sawtooth</t>
  </si>
  <si>
    <t>Victory</t>
  </si>
  <si>
    <t>Heritage</t>
  </si>
  <si>
    <t>Alternate High School Boundries</t>
  </si>
  <si>
    <t>Alternate Middle School Boundries</t>
  </si>
  <si>
    <t>Proposed</t>
  </si>
  <si>
    <t>Current</t>
  </si>
  <si>
    <t>Alternate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</si>
</sst>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7" borderId="0" xfId="0" applyFont="1" applyFill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9" fontId="0" fillId="0" borderId="4" xfId="1" applyFont="1" applyBorder="1" applyAlignment="1">
      <alignment horizontal="center" vertical="center"/>
    </xf>
    <xf numFmtId="9" fontId="0" fillId="0" borderId="7" xfId="1" applyFont="1" applyBorder="1" applyAlignment="1">
      <alignment horizontal="center" vertical="center"/>
    </xf>
    <xf numFmtId="9" fontId="0" fillId="0" borderId="6" xfId="1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 applyAlignment="1">
      <alignment vertical="center"/>
    </xf>
    <xf numFmtId="0" fontId="0" fillId="0" borderId="2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6" fillId="7" borderId="0" xfId="0" applyFont="1" applyFill="1" applyAlignment="1">
      <alignment vertical="center"/>
    </xf>
    <xf numFmtId="0" fontId="2" fillId="7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9" fontId="5" fillId="0" borderId="11" xfId="1" applyFont="1" applyBorder="1" applyAlignment="1">
      <alignment horizontal="center" vertical="center"/>
    </xf>
    <xf numFmtId="9" fontId="5" fillId="0" borderId="24" xfId="1" applyFont="1" applyBorder="1" applyAlignment="1">
      <alignment horizontal="center" vertical="center"/>
    </xf>
    <xf numFmtId="9" fontId="5" fillId="0" borderId="26" xfId="1" applyFont="1" applyBorder="1" applyAlignment="1">
      <alignment horizontal="center" vertical="center"/>
    </xf>
    <xf numFmtId="9" fontId="5" fillId="0" borderId="28" xfId="1" applyFont="1" applyBorder="1" applyAlignment="1">
      <alignment horizontal="center" vertical="center"/>
    </xf>
    <xf numFmtId="9" fontId="5" fillId="0" borderId="11" xfId="1" applyFont="1" applyBorder="1" applyAlignment="1">
      <alignment horizontal="center" vertical="center"/>
    </xf>
    <xf numFmtId="9" fontId="5" fillId="0" borderId="14" xfId="1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600075</xdr:colOff>
      <xdr:row>3</xdr:row>
      <xdr:rowOff>38100</xdr:rowOff>
    </xdr:from>
    <xdr:to>
      <xdr:col>15</xdr:col>
      <xdr:colOff>0</xdr:colOff>
      <xdr:row>31</xdr:row>
      <xdr:rowOff>57150</xdr:rowOff>
    </xdr:to>
    <xdr:cxnSp macro="">
      <xdr:nvCxnSpPr>
        <xdr:cNvPr id="2" name="Straight Connector 1"/>
        <xdr:cNvCxnSpPr/>
      </xdr:nvCxnSpPr>
      <xdr:spPr>
        <a:xfrm flipH="1">
          <a:off x="5695950" y="876300"/>
          <a:ext cx="9525" cy="8286750"/>
        </a:xfrm>
        <a:prstGeom prst="line">
          <a:avLst/>
        </a:prstGeom>
        <a:ln w="57150">
          <a:solidFill>
            <a:schemeClr val="accent2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13</xdr:row>
      <xdr:rowOff>590550</xdr:rowOff>
    </xdr:from>
    <xdr:to>
      <xdr:col>19</xdr:col>
      <xdr:colOff>323850</xdr:colOff>
      <xdr:row>15</xdr:row>
      <xdr:rowOff>19050</xdr:rowOff>
    </xdr:to>
    <xdr:grpSp>
      <xdr:nvGrpSpPr>
        <xdr:cNvPr id="3" name="Group 2"/>
        <xdr:cNvGrpSpPr/>
      </xdr:nvGrpSpPr>
      <xdr:grpSpPr>
        <a:xfrm>
          <a:off x="257175" y="5095875"/>
          <a:ext cx="6991350" cy="342900"/>
          <a:chOff x="38100" y="4248150"/>
          <a:chExt cx="7915275" cy="342900"/>
        </a:xfrm>
      </xdr:grpSpPr>
      <xdr:cxnSp macro="">
        <xdr:nvCxnSpPr>
          <xdr:cNvPr id="4" name="Straight Connector 3"/>
          <xdr:cNvCxnSpPr/>
        </xdr:nvCxnSpPr>
        <xdr:spPr>
          <a:xfrm>
            <a:off x="38100" y="4248150"/>
            <a:ext cx="1819275" cy="323850"/>
          </a:xfrm>
          <a:prstGeom prst="line">
            <a:avLst/>
          </a:prstGeom>
          <a:ln w="5715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/>
          <xdr:cNvCxnSpPr/>
        </xdr:nvCxnSpPr>
        <xdr:spPr>
          <a:xfrm>
            <a:off x="1819275" y="4572000"/>
            <a:ext cx="6134100" cy="19050"/>
          </a:xfrm>
          <a:prstGeom prst="line">
            <a:avLst/>
          </a:prstGeom>
          <a:ln w="5715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295275</xdr:colOff>
      <xdr:row>2</xdr:row>
      <xdr:rowOff>190500</xdr:rowOff>
    </xdr:from>
    <xdr:to>
      <xdr:col>11</xdr:col>
      <xdr:colOff>0</xdr:colOff>
      <xdr:row>31</xdr:row>
      <xdr:rowOff>9525</xdr:rowOff>
    </xdr:to>
    <xdr:cxnSp macro="">
      <xdr:nvCxnSpPr>
        <xdr:cNvPr id="6" name="Straight Connector 5"/>
        <xdr:cNvCxnSpPr/>
      </xdr:nvCxnSpPr>
      <xdr:spPr>
        <a:xfrm flipH="1">
          <a:off x="3867150" y="381000"/>
          <a:ext cx="9525" cy="8277225"/>
        </a:xfrm>
        <a:prstGeom prst="line">
          <a:avLst/>
        </a:prstGeom>
        <a:ln w="28575">
          <a:solidFill>
            <a:schemeClr val="accent2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600075</xdr:colOff>
      <xdr:row>3</xdr:row>
      <xdr:rowOff>0</xdr:rowOff>
    </xdr:from>
    <xdr:to>
      <xdr:col>14</xdr:col>
      <xdr:colOff>0</xdr:colOff>
      <xdr:row>31</xdr:row>
      <xdr:rowOff>19050</xdr:rowOff>
    </xdr:to>
    <xdr:cxnSp macro="">
      <xdr:nvCxnSpPr>
        <xdr:cNvPr id="2" name="Straight Connector 1"/>
        <xdr:cNvCxnSpPr/>
      </xdr:nvCxnSpPr>
      <xdr:spPr>
        <a:xfrm flipH="1">
          <a:off x="5086350" y="838200"/>
          <a:ext cx="9525" cy="8286750"/>
        </a:xfrm>
        <a:prstGeom prst="line">
          <a:avLst/>
        </a:prstGeom>
        <a:ln w="57150">
          <a:solidFill>
            <a:schemeClr val="accent2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13</xdr:row>
      <xdr:rowOff>590550</xdr:rowOff>
    </xdr:from>
    <xdr:to>
      <xdr:col>20</xdr:col>
      <xdr:colOff>28575</xdr:colOff>
      <xdr:row>15</xdr:row>
      <xdr:rowOff>19050</xdr:rowOff>
    </xdr:to>
    <xdr:grpSp>
      <xdr:nvGrpSpPr>
        <xdr:cNvPr id="3" name="Group 2"/>
        <xdr:cNvGrpSpPr/>
      </xdr:nvGrpSpPr>
      <xdr:grpSpPr>
        <a:xfrm>
          <a:off x="257175" y="5086350"/>
          <a:ext cx="8305800" cy="342900"/>
          <a:chOff x="38100" y="4248150"/>
          <a:chExt cx="7915275" cy="342900"/>
        </a:xfrm>
      </xdr:grpSpPr>
      <xdr:cxnSp macro="">
        <xdr:nvCxnSpPr>
          <xdr:cNvPr id="4" name="Straight Connector 3"/>
          <xdr:cNvCxnSpPr/>
        </xdr:nvCxnSpPr>
        <xdr:spPr>
          <a:xfrm>
            <a:off x="38100" y="4248150"/>
            <a:ext cx="1819275" cy="323850"/>
          </a:xfrm>
          <a:prstGeom prst="line">
            <a:avLst/>
          </a:prstGeom>
          <a:ln w="5715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/>
          <xdr:cNvCxnSpPr/>
        </xdr:nvCxnSpPr>
        <xdr:spPr>
          <a:xfrm>
            <a:off x="1819275" y="4572000"/>
            <a:ext cx="6134100" cy="19050"/>
          </a:xfrm>
          <a:prstGeom prst="line">
            <a:avLst/>
          </a:prstGeom>
          <a:ln w="5715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295275</xdr:colOff>
      <xdr:row>2</xdr:row>
      <xdr:rowOff>190500</xdr:rowOff>
    </xdr:from>
    <xdr:to>
      <xdr:col>11</xdr:col>
      <xdr:colOff>0</xdr:colOff>
      <xdr:row>31</xdr:row>
      <xdr:rowOff>9525</xdr:rowOff>
    </xdr:to>
    <xdr:cxnSp macro="">
      <xdr:nvCxnSpPr>
        <xdr:cNvPr id="6" name="Straight Connector 5"/>
        <xdr:cNvCxnSpPr/>
      </xdr:nvCxnSpPr>
      <xdr:spPr>
        <a:xfrm flipH="1">
          <a:off x="3867150" y="838200"/>
          <a:ext cx="9525" cy="8277225"/>
        </a:xfrm>
        <a:prstGeom prst="line">
          <a:avLst/>
        </a:prstGeom>
        <a:ln w="28575">
          <a:solidFill>
            <a:schemeClr val="accent2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13</xdr:row>
      <xdr:rowOff>180975</xdr:rowOff>
    </xdr:from>
    <xdr:to>
      <xdr:col>9</xdr:col>
      <xdr:colOff>9525</xdr:colOff>
      <xdr:row>13</xdr:row>
      <xdr:rowOff>342900</xdr:rowOff>
    </xdr:to>
    <xdr:sp macro="" textlink="">
      <xdr:nvSpPr>
        <xdr:cNvPr id="70" name="5-Point Star 69"/>
        <xdr:cNvSpPr/>
      </xdr:nvSpPr>
      <xdr:spPr>
        <a:xfrm>
          <a:off x="3105150" y="4676775"/>
          <a:ext cx="171450" cy="161925"/>
        </a:xfrm>
        <a:prstGeom prst="star5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6</xdr:row>
      <xdr:rowOff>209550</xdr:rowOff>
    </xdr:from>
    <xdr:to>
      <xdr:col>9</xdr:col>
      <xdr:colOff>171450</xdr:colOff>
      <xdr:row>6</xdr:row>
      <xdr:rowOff>371475</xdr:rowOff>
    </xdr:to>
    <xdr:sp macro="" textlink="">
      <xdr:nvSpPr>
        <xdr:cNvPr id="71" name="5-Point Star 70"/>
        <xdr:cNvSpPr/>
      </xdr:nvSpPr>
      <xdr:spPr>
        <a:xfrm>
          <a:off x="3267075" y="2876550"/>
          <a:ext cx="171450" cy="161925"/>
        </a:xfrm>
        <a:prstGeom prst="star5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238125</xdr:colOff>
      <xdr:row>4</xdr:row>
      <xdr:rowOff>95250</xdr:rowOff>
    </xdr:from>
    <xdr:to>
      <xdr:col>10</xdr:col>
      <xdr:colOff>104775</xdr:colOff>
      <xdr:row>4</xdr:row>
      <xdr:rowOff>257175</xdr:rowOff>
    </xdr:to>
    <xdr:sp macro="" textlink="">
      <xdr:nvSpPr>
        <xdr:cNvPr id="72" name="5-Point Star 71"/>
        <xdr:cNvSpPr/>
      </xdr:nvSpPr>
      <xdr:spPr>
        <a:xfrm>
          <a:off x="3505200" y="1543050"/>
          <a:ext cx="171450" cy="161925"/>
        </a:xfrm>
        <a:prstGeom prst="star5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180975</xdr:colOff>
      <xdr:row>16</xdr:row>
      <xdr:rowOff>66675</xdr:rowOff>
    </xdr:from>
    <xdr:to>
      <xdr:col>13</xdr:col>
      <xdr:colOff>352425</xdr:colOff>
      <xdr:row>17</xdr:row>
      <xdr:rowOff>76200</xdr:rowOff>
    </xdr:to>
    <xdr:sp macro="" textlink="">
      <xdr:nvSpPr>
        <xdr:cNvPr id="73" name="5-Point Star 72"/>
        <xdr:cNvSpPr/>
      </xdr:nvSpPr>
      <xdr:spPr>
        <a:xfrm>
          <a:off x="4667250" y="5781675"/>
          <a:ext cx="171450" cy="161925"/>
        </a:xfrm>
        <a:prstGeom prst="star5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352425</xdr:colOff>
      <xdr:row>6</xdr:row>
      <xdr:rowOff>400050</xdr:rowOff>
    </xdr:from>
    <xdr:to>
      <xdr:col>14</xdr:col>
      <xdr:colOff>523875</xdr:colOff>
      <xdr:row>6</xdr:row>
      <xdr:rowOff>561975</xdr:rowOff>
    </xdr:to>
    <xdr:sp macro="" textlink="">
      <xdr:nvSpPr>
        <xdr:cNvPr id="74" name="5-Point Star 73"/>
        <xdr:cNvSpPr/>
      </xdr:nvSpPr>
      <xdr:spPr>
        <a:xfrm>
          <a:off x="5448300" y="3067050"/>
          <a:ext cx="171450" cy="161925"/>
        </a:xfrm>
        <a:prstGeom prst="star5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AD31"/>
  <sheetViews>
    <sheetView topLeftCell="A4" workbookViewId="0">
      <selection activeCell="AF6" sqref="AF6"/>
    </sheetView>
  </sheetViews>
  <sheetFormatPr defaultRowHeight="15" x14ac:dyDescent="0.25"/>
  <cols>
    <col min="1" max="1" width="3.28515625" style="1" customWidth="1"/>
    <col min="2" max="3" width="9.140625" style="1"/>
    <col min="4" max="14" width="4.5703125" style="1" customWidth="1"/>
    <col min="15" max="15" width="4.5703125" style="2" customWidth="1"/>
    <col min="16" max="16" width="9.140625" style="1"/>
    <col min="17" max="18" width="4.5703125" style="1" customWidth="1"/>
    <col min="19" max="20" width="9.140625" style="1"/>
    <col min="21" max="22" width="15" style="1" customWidth="1"/>
    <col min="23" max="23" width="15" style="2" customWidth="1"/>
    <col min="24" max="24" width="15" style="1" customWidth="1"/>
    <col min="25" max="30" width="12.42578125" style="1" customWidth="1"/>
    <col min="31" max="16384" width="9.140625" style="1"/>
  </cols>
  <sheetData>
    <row r="1" spans="2:30" s="2" customFormat="1" x14ac:dyDescent="0.25"/>
    <row r="2" spans="2:30" ht="36.75" thickBot="1" x14ac:dyDescent="0.3">
      <c r="B2" s="18" t="s">
        <v>21</v>
      </c>
      <c r="U2" s="96"/>
      <c r="V2" s="96"/>
      <c r="W2" s="96"/>
      <c r="X2" s="96"/>
      <c r="Y2" s="43" t="s">
        <v>23</v>
      </c>
      <c r="Z2" s="43"/>
      <c r="AA2" s="43"/>
      <c r="AB2" s="43" t="s">
        <v>24</v>
      </c>
      <c r="AC2" s="43"/>
      <c r="AD2" s="43"/>
    </row>
    <row r="3" spans="2:30" x14ac:dyDescent="0.25">
      <c r="U3" s="14" t="s">
        <v>5</v>
      </c>
      <c r="V3" s="14" t="s">
        <v>7</v>
      </c>
      <c r="W3" s="14" t="s">
        <v>23</v>
      </c>
      <c r="X3" s="97" t="s">
        <v>22</v>
      </c>
      <c r="Y3" s="100" t="s">
        <v>9</v>
      </c>
      <c r="Z3" s="101" t="s">
        <v>8</v>
      </c>
      <c r="AA3" s="102" t="s">
        <v>10</v>
      </c>
      <c r="AB3" s="100" t="s">
        <v>9</v>
      </c>
      <c r="AC3" s="101" t="s">
        <v>8</v>
      </c>
      <c r="AD3" s="102" t="s">
        <v>10</v>
      </c>
    </row>
    <row r="4" spans="2:30" ht="48" customHeight="1" x14ac:dyDescent="0.25">
      <c r="B4" s="45">
        <v>1121</v>
      </c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7"/>
      <c r="U4" s="93" t="s">
        <v>12</v>
      </c>
      <c r="V4" s="11">
        <v>1000</v>
      </c>
      <c r="W4" s="12">
        <v>1235</v>
      </c>
      <c r="X4" s="98">
        <f>SumByColor(U4,$B$4:$T$31)</f>
        <v>1180</v>
      </c>
      <c r="Y4" s="103" t="str">
        <f>IF(V4-W4&gt;0,V4-W4, "")</f>
        <v/>
      </c>
      <c r="Z4" s="12">
        <f>IF(W4-V4&gt;0,W4-V4,"")</f>
        <v>235</v>
      </c>
      <c r="AA4" s="110">
        <f>IFERROR(Z4/V4,"")</f>
        <v>0.23499999999999999</v>
      </c>
      <c r="AB4" s="103" t="str">
        <f>IF(V4-X4&gt;0,V4-X4, "")</f>
        <v/>
      </c>
      <c r="AC4" s="12">
        <f>IF(X4-V4&gt;0,X4-V4,"")</f>
        <v>180</v>
      </c>
      <c r="AD4" s="110">
        <f>IFERROR(AC4/V4,"")</f>
        <v>0.18</v>
      </c>
    </row>
    <row r="5" spans="2:30" ht="48" customHeight="1" x14ac:dyDescent="0.25">
      <c r="B5" s="45"/>
      <c r="C5" s="46"/>
      <c r="D5" s="46"/>
      <c r="E5" s="47"/>
      <c r="F5" s="44"/>
      <c r="G5" s="44"/>
      <c r="H5" s="44"/>
      <c r="I5" s="44"/>
      <c r="J5" s="44"/>
      <c r="K5" s="44"/>
      <c r="L5" s="45"/>
      <c r="M5" s="46"/>
      <c r="N5" s="46"/>
      <c r="O5" s="47"/>
      <c r="P5" s="48">
        <v>59</v>
      </c>
      <c r="Q5" s="44"/>
      <c r="R5" s="44"/>
      <c r="U5" s="4" t="s">
        <v>19</v>
      </c>
      <c r="V5" s="11">
        <v>1000</v>
      </c>
      <c r="W5" s="12">
        <v>1194</v>
      </c>
      <c r="X5" s="98">
        <f>SumByColor(U5,$B$4:$T$31)</f>
        <v>1171</v>
      </c>
      <c r="Y5" s="103" t="str">
        <f t="shared" ref="Y5:Y7" si="0">IF(V5-W5&gt;0,V5-W5, "")</f>
        <v/>
      </c>
      <c r="Z5" s="12">
        <f t="shared" ref="Z5:Z7" si="1">IF(W5-V5&gt;0,W5-V5,"")</f>
        <v>194</v>
      </c>
      <c r="AA5" s="110">
        <f t="shared" ref="AA5:AA7" si="2">IFERROR(Z5/V5,"")</f>
        <v>0.19400000000000001</v>
      </c>
      <c r="AB5" s="103" t="str">
        <f>IF(V5-X5&gt;0,V5-X5, "")</f>
        <v/>
      </c>
      <c r="AC5" s="12">
        <f>IF(X5-V5&gt;0,X5-V5,"")</f>
        <v>171</v>
      </c>
      <c r="AD5" s="110">
        <f>IFERROR(AC5/V5,"")</f>
        <v>0.17100000000000001</v>
      </c>
    </row>
    <row r="6" spans="2:30" ht="48" customHeight="1" x14ac:dyDescent="0.25">
      <c r="B6" s="48"/>
      <c r="C6" s="48"/>
      <c r="D6" s="32"/>
      <c r="E6" s="32"/>
      <c r="F6" s="32">
        <v>26</v>
      </c>
      <c r="G6" s="32"/>
      <c r="H6" s="32"/>
      <c r="I6" s="32"/>
      <c r="J6" s="32">
        <v>26</v>
      </c>
      <c r="K6" s="32"/>
      <c r="L6" s="32">
        <v>53</v>
      </c>
      <c r="M6" s="32"/>
      <c r="N6" s="67">
        <v>22</v>
      </c>
      <c r="O6" s="68"/>
      <c r="P6" s="83"/>
      <c r="Q6" s="84"/>
      <c r="R6" s="84"/>
      <c r="S6" s="83">
        <v>55</v>
      </c>
      <c r="U6" s="8" t="s">
        <v>13</v>
      </c>
      <c r="V6" s="11">
        <v>1000</v>
      </c>
      <c r="W6" s="12">
        <v>1485</v>
      </c>
      <c r="X6" s="98">
        <f>SumByColor(U6,$B$4:$T$31)</f>
        <v>886</v>
      </c>
      <c r="Y6" s="103" t="str">
        <f t="shared" si="0"/>
        <v/>
      </c>
      <c r="Z6" s="12">
        <f t="shared" si="1"/>
        <v>485</v>
      </c>
      <c r="AA6" s="110">
        <f t="shared" si="2"/>
        <v>0.48499999999999999</v>
      </c>
      <c r="AB6" s="103">
        <f>IF(V6-X6&gt;0,V6-X6, "")</f>
        <v>114</v>
      </c>
      <c r="AC6" s="12" t="str">
        <f>IF(X6-V6&gt;0,X6-V6,"")</f>
        <v/>
      </c>
      <c r="AD6" s="110" t="str">
        <f>IFERROR(AC6/V6,"")</f>
        <v/>
      </c>
    </row>
    <row r="7" spans="2:30" ht="48" customHeight="1" x14ac:dyDescent="0.25">
      <c r="B7" s="56">
        <v>2</v>
      </c>
      <c r="C7" s="56">
        <v>3</v>
      </c>
      <c r="D7" s="55">
        <v>0</v>
      </c>
      <c r="E7" s="55"/>
      <c r="F7" s="55">
        <v>31</v>
      </c>
      <c r="G7" s="55"/>
      <c r="H7" s="34">
        <v>295</v>
      </c>
      <c r="I7" s="34"/>
      <c r="J7" s="32">
        <v>143</v>
      </c>
      <c r="K7" s="32"/>
      <c r="L7" s="32">
        <v>242</v>
      </c>
      <c r="M7" s="32"/>
      <c r="N7" s="67">
        <v>199</v>
      </c>
      <c r="O7" s="68"/>
      <c r="P7" s="83">
        <v>177</v>
      </c>
      <c r="Q7" s="84">
        <v>150</v>
      </c>
      <c r="R7" s="84"/>
      <c r="S7" s="83"/>
      <c r="U7" s="7" t="s">
        <v>14</v>
      </c>
      <c r="V7" s="11">
        <v>1000</v>
      </c>
      <c r="W7" s="12">
        <v>1139</v>
      </c>
      <c r="X7" s="98">
        <f>SumByColor(U7,$B$4:$T$31)</f>
        <v>1119</v>
      </c>
      <c r="Y7" s="103" t="str">
        <f t="shared" si="0"/>
        <v/>
      </c>
      <c r="Z7" s="12">
        <f t="shared" si="1"/>
        <v>139</v>
      </c>
      <c r="AA7" s="110">
        <f t="shared" si="2"/>
        <v>0.13900000000000001</v>
      </c>
      <c r="AB7" s="103" t="str">
        <f>IF(V7-X7&gt;0,V7-X7, "")</f>
        <v/>
      </c>
      <c r="AC7" s="12">
        <f>IF(X7-V7&gt;0,X7-V7,"")</f>
        <v>119</v>
      </c>
      <c r="AD7" s="110">
        <f>IFERROR(AC7/V7,"")</f>
        <v>0.11899999999999999</v>
      </c>
    </row>
    <row r="8" spans="2:30" ht="12" customHeight="1" x14ac:dyDescent="0.25">
      <c r="B8" s="55">
        <v>0</v>
      </c>
      <c r="C8" s="55">
        <v>0</v>
      </c>
      <c r="D8" s="55">
        <v>9</v>
      </c>
      <c r="E8" s="55"/>
      <c r="F8" s="55">
        <v>4</v>
      </c>
      <c r="G8" s="55"/>
      <c r="H8" s="49">
        <v>294</v>
      </c>
      <c r="I8" s="50"/>
      <c r="J8" s="34">
        <v>198</v>
      </c>
      <c r="K8" s="34"/>
      <c r="L8" s="32">
        <v>312</v>
      </c>
      <c r="M8" s="32"/>
      <c r="N8" s="69">
        <v>148</v>
      </c>
      <c r="O8" s="70"/>
      <c r="P8" s="84">
        <v>192</v>
      </c>
      <c r="Q8" s="84">
        <v>208</v>
      </c>
      <c r="R8" s="84"/>
      <c r="S8" s="84">
        <v>182</v>
      </c>
      <c r="U8" s="84" t="s">
        <v>15</v>
      </c>
      <c r="V8" s="33">
        <v>1000</v>
      </c>
      <c r="W8" s="40">
        <v>1009</v>
      </c>
      <c r="X8" s="99">
        <f>SumByColor(U8,$B$4:$T$31)</f>
        <v>1059</v>
      </c>
      <c r="Y8" s="104" t="str">
        <f>IF(V8-W8&gt;0,V8-W8, "")</f>
        <v/>
      </c>
      <c r="Z8" s="33">
        <f>IF(W8-V8&gt;0,W8-V8,"")</f>
        <v>9</v>
      </c>
      <c r="AA8" s="111">
        <f>IFERROR(Z8/V8,"")</f>
        <v>8.9999999999999993E-3</v>
      </c>
      <c r="AB8" s="104" t="str">
        <f>IF(V8-X8&gt;0,V8-X8,"")</f>
        <v/>
      </c>
      <c r="AC8" s="33">
        <f>IF(X8-V8&gt;0,X8-V8,"")</f>
        <v>59</v>
      </c>
      <c r="AD8" s="111">
        <f>IFERROR(AC8/V8,"")</f>
        <v>5.8999999999999997E-2</v>
      </c>
    </row>
    <row r="9" spans="2:30" ht="12" customHeight="1" x14ac:dyDescent="0.25">
      <c r="B9" s="55"/>
      <c r="C9" s="55"/>
      <c r="D9" s="61"/>
      <c r="E9" s="55"/>
      <c r="F9" s="55"/>
      <c r="G9" s="55"/>
      <c r="H9" s="51"/>
      <c r="I9" s="52"/>
      <c r="J9" s="34"/>
      <c r="K9" s="34"/>
      <c r="L9" s="32"/>
      <c r="M9" s="32"/>
      <c r="N9" s="71"/>
      <c r="O9" s="72"/>
      <c r="P9" s="84"/>
      <c r="Q9" s="84"/>
      <c r="R9" s="84"/>
      <c r="S9" s="84"/>
      <c r="U9" s="84"/>
      <c r="V9" s="33"/>
      <c r="W9" s="41"/>
      <c r="X9" s="99"/>
      <c r="Y9" s="105"/>
      <c r="Z9" s="33"/>
      <c r="AA9" s="112"/>
      <c r="AB9" s="105"/>
      <c r="AC9" s="33"/>
      <c r="AD9" s="112"/>
    </row>
    <row r="10" spans="2:30" ht="12" customHeight="1" x14ac:dyDescent="0.25">
      <c r="B10" s="55"/>
      <c r="C10" s="55"/>
      <c r="D10" s="62"/>
      <c r="E10" s="34">
        <v>32</v>
      </c>
      <c r="F10" s="55"/>
      <c r="G10" s="55"/>
      <c r="H10" s="51"/>
      <c r="I10" s="52"/>
      <c r="J10" s="34"/>
      <c r="K10" s="34"/>
      <c r="L10" s="32"/>
      <c r="M10" s="32"/>
      <c r="N10" s="71"/>
      <c r="O10" s="72"/>
      <c r="P10" s="84"/>
      <c r="Q10" s="84"/>
      <c r="R10" s="84"/>
      <c r="S10" s="84"/>
      <c r="U10" s="84"/>
      <c r="V10" s="33"/>
      <c r="W10" s="41"/>
      <c r="X10" s="99"/>
      <c r="Y10" s="105"/>
      <c r="Z10" s="33"/>
      <c r="AA10" s="112"/>
      <c r="AB10" s="105"/>
      <c r="AC10" s="33"/>
      <c r="AD10" s="112"/>
    </row>
    <row r="11" spans="2:30" ht="12" customHeight="1" x14ac:dyDescent="0.25">
      <c r="B11" s="55"/>
      <c r="C11" s="55"/>
      <c r="D11" s="55"/>
      <c r="E11" s="34"/>
      <c r="F11" s="55"/>
      <c r="G11" s="55"/>
      <c r="H11" s="53"/>
      <c r="I11" s="54"/>
      <c r="J11" s="34"/>
      <c r="K11" s="34"/>
      <c r="L11" s="32"/>
      <c r="M11" s="32"/>
      <c r="N11" s="73"/>
      <c r="O11" s="74"/>
      <c r="P11" s="84"/>
      <c r="Q11" s="84"/>
      <c r="R11" s="84"/>
      <c r="S11" s="84"/>
      <c r="U11" s="84"/>
      <c r="V11" s="33"/>
      <c r="W11" s="42"/>
      <c r="X11" s="99"/>
      <c r="Y11" s="106"/>
      <c r="Z11" s="33"/>
      <c r="AA11" s="113"/>
      <c r="AB11" s="106"/>
      <c r="AC11" s="33"/>
      <c r="AD11" s="113"/>
    </row>
    <row r="12" spans="2:30" ht="24" customHeight="1" x14ac:dyDescent="0.25">
      <c r="B12" s="27"/>
      <c r="C12" s="55">
        <v>0</v>
      </c>
      <c r="D12" s="55">
        <v>0</v>
      </c>
      <c r="E12" s="34">
        <v>78</v>
      </c>
      <c r="F12" s="34">
        <v>77</v>
      </c>
      <c r="G12" s="34"/>
      <c r="H12" s="34">
        <v>77</v>
      </c>
      <c r="I12" s="34"/>
      <c r="J12" s="55">
        <v>145</v>
      </c>
      <c r="K12" s="55"/>
      <c r="L12" s="55">
        <v>190</v>
      </c>
      <c r="M12" s="55"/>
      <c r="N12" s="75">
        <v>119</v>
      </c>
      <c r="O12" s="76"/>
      <c r="P12" s="30">
        <v>122</v>
      </c>
      <c r="Q12" s="60"/>
      <c r="R12" s="85">
        <v>28</v>
      </c>
      <c r="S12" s="84">
        <v>67</v>
      </c>
      <c r="U12" s="55" t="s">
        <v>16</v>
      </c>
      <c r="V12" s="33">
        <v>1250</v>
      </c>
      <c r="W12" s="94">
        <v>1045</v>
      </c>
      <c r="X12" s="86">
        <f>SumByColor(U12,$B$4:$T$31)</f>
        <v>1177</v>
      </c>
      <c r="Y12" s="107">
        <f>IF(V12-W12&gt;0,V12-W12, "")</f>
        <v>205</v>
      </c>
      <c r="Z12" s="33" t="str">
        <f>IF(W12-V12&gt;0,W12-V12,"")</f>
        <v/>
      </c>
      <c r="AA12" s="114" t="str">
        <f>IFERROR(Z12/V12,"")</f>
        <v/>
      </c>
      <c r="AB12" s="107">
        <f>IF(V12-X12&gt;0,V12-X12,"")</f>
        <v>73</v>
      </c>
      <c r="AC12" s="33" t="str">
        <f>IF(X12-V12&gt;0,X12-V12,"")</f>
        <v/>
      </c>
      <c r="AD12" s="114" t="str">
        <f>IFERROR(AC12/V12,"")</f>
        <v/>
      </c>
    </row>
    <row r="13" spans="2:30" ht="24" customHeight="1" x14ac:dyDescent="0.25">
      <c r="B13" s="27"/>
      <c r="C13" s="55"/>
      <c r="D13" s="55"/>
      <c r="E13" s="34"/>
      <c r="F13" s="55">
        <v>49</v>
      </c>
      <c r="G13" s="55"/>
      <c r="H13" s="55">
        <v>137</v>
      </c>
      <c r="I13" s="55"/>
      <c r="J13" s="55"/>
      <c r="K13" s="55"/>
      <c r="L13" s="55"/>
      <c r="M13" s="55"/>
      <c r="N13" s="59"/>
      <c r="O13" s="77"/>
      <c r="P13" s="30"/>
      <c r="Q13" s="59">
        <v>114</v>
      </c>
      <c r="R13" s="58"/>
      <c r="S13" s="84"/>
      <c r="U13" s="55"/>
      <c r="V13" s="33"/>
      <c r="W13" s="95"/>
      <c r="X13" s="86"/>
      <c r="Y13" s="107"/>
      <c r="Z13" s="33"/>
      <c r="AA13" s="114"/>
      <c r="AB13" s="107"/>
      <c r="AC13" s="33"/>
      <c r="AD13" s="114"/>
    </row>
    <row r="14" spans="2:30" ht="48" customHeight="1" x14ac:dyDescent="0.25">
      <c r="C14" s="55"/>
      <c r="D14" s="55">
        <v>8</v>
      </c>
      <c r="E14" s="55"/>
      <c r="F14" s="55">
        <v>133</v>
      </c>
      <c r="G14" s="55"/>
      <c r="H14" s="55">
        <v>76</v>
      </c>
      <c r="I14" s="55"/>
      <c r="J14" s="55">
        <v>139</v>
      </c>
      <c r="K14" s="55"/>
      <c r="L14" s="55">
        <v>116</v>
      </c>
      <c r="M14" s="55"/>
      <c r="N14" s="57">
        <v>19</v>
      </c>
      <c r="O14" s="58"/>
      <c r="P14" s="7">
        <v>62</v>
      </c>
      <c r="Q14" s="30">
        <v>91</v>
      </c>
      <c r="R14" s="30"/>
      <c r="U14" s="3" t="s">
        <v>17</v>
      </c>
      <c r="V14" s="12">
        <v>1000</v>
      </c>
      <c r="W14" s="12">
        <v>1022</v>
      </c>
      <c r="X14" s="98">
        <f>SumByColor(U14,$B$4:$T$31)</f>
        <v>1051</v>
      </c>
      <c r="Y14" s="103" t="str">
        <f>IF(V14-W14&gt;0,V14-W14, "")</f>
        <v/>
      </c>
      <c r="Z14" s="12">
        <f>IF(W14-V14&gt;0,W14-V14,"")</f>
        <v>22</v>
      </c>
      <c r="AA14" s="110">
        <f>IFERROR(Z14/V14,"")</f>
        <v>2.1999999999999999E-2</v>
      </c>
      <c r="AB14" s="103" t="str">
        <f>IF(V14-X14&gt;0,V14-X14,"")</f>
        <v/>
      </c>
      <c r="AC14" s="12">
        <f>IF(X14-V14&gt;0,X14-V14,"")</f>
        <v>51</v>
      </c>
      <c r="AD14" s="110">
        <f>IFERROR(AC14/V14,"")</f>
        <v>5.0999999999999997E-2</v>
      </c>
    </row>
    <row r="15" spans="2:30" ht="24" customHeight="1" x14ac:dyDescent="0.25">
      <c r="B15" s="27"/>
      <c r="C15" s="55"/>
      <c r="D15" s="55">
        <v>4</v>
      </c>
      <c r="E15" s="55"/>
      <c r="F15" s="55">
        <v>0</v>
      </c>
      <c r="G15" s="55"/>
      <c r="H15" s="55">
        <v>21</v>
      </c>
      <c r="I15" s="55"/>
      <c r="J15" s="55">
        <v>110</v>
      </c>
      <c r="K15" s="55"/>
      <c r="L15" s="55">
        <v>0</v>
      </c>
      <c r="M15" s="55"/>
      <c r="N15" s="57">
        <v>91</v>
      </c>
      <c r="O15" s="58"/>
      <c r="P15" s="7">
        <v>20</v>
      </c>
      <c r="Q15" s="30">
        <v>61</v>
      </c>
      <c r="R15" s="30"/>
      <c r="S15" s="27"/>
      <c r="U15" s="29" t="s">
        <v>18</v>
      </c>
      <c r="V15" s="33">
        <v>1000</v>
      </c>
      <c r="W15" s="40">
        <v>0</v>
      </c>
      <c r="X15" s="99">
        <f>SumByColor(U15,$B$4:$T$31)</f>
        <v>711</v>
      </c>
      <c r="Y15" s="107">
        <f>IF(V15-W15&gt;0,V15-W15, "")</f>
        <v>1000</v>
      </c>
      <c r="Z15" s="33" t="str">
        <f>IF(W15-V15&gt;0,W15-V15,"")</f>
        <v/>
      </c>
      <c r="AA15" s="114" t="str">
        <f>IFERROR(Z15/V15,"")</f>
        <v/>
      </c>
      <c r="AB15" s="107">
        <f>IF(V15-X15&gt;0,V15-X15,"")</f>
        <v>289</v>
      </c>
      <c r="AC15" s="33" t="str">
        <f>IF(X15-V15&gt;0,X15-V15,"")</f>
        <v/>
      </c>
      <c r="AD15" s="114" t="str">
        <f>IFERROR(AC15/V15,"")</f>
        <v/>
      </c>
    </row>
    <row r="16" spans="2:30" ht="24" customHeight="1" thickBot="1" x14ac:dyDescent="0.3">
      <c r="B16" s="27"/>
      <c r="C16" s="55"/>
      <c r="D16" s="29">
        <v>1</v>
      </c>
      <c r="E16" s="29"/>
      <c r="F16" s="29">
        <v>0</v>
      </c>
      <c r="G16" s="29"/>
      <c r="H16" s="29"/>
      <c r="I16" s="39"/>
      <c r="J16" s="64"/>
      <c r="K16" s="63"/>
      <c r="L16" s="65"/>
      <c r="M16" s="63"/>
      <c r="N16" s="57"/>
      <c r="O16" s="58"/>
      <c r="P16" s="7">
        <v>22</v>
      </c>
      <c r="Q16" s="30">
        <v>37</v>
      </c>
      <c r="R16" s="30"/>
      <c r="S16" s="27"/>
      <c r="U16" s="29"/>
      <c r="V16" s="33"/>
      <c r="W16" s="42"/>
      <c r="X16" s="99"/>
      <c r="Y16" s="108"/>
      <c r="Z16" s="109"/>
      <c r="AA16" s="115"/>
      <c r="AB16" s="108"/>
      <c r="AC16" s="109"/>
      <c r="AD16" s="115"/>
    </row>
    <row r="17" spans="2:20" ht="12" customHeight="1" x14ac:dyDescent="0.25">
      <c r="B17" s="27"/>
      <c r="C17" s="27"/>
      <c r="D17" s="29">
        <v>12</v>
      </c>
      <c r="E17" s="29"/>
      <c r="F17" s="29">
        <v>11</v>
      </c>
      <c r="G17" s="29"/>
      <c r="H17" s="29">
        <v>9</v>
      </c>
      <c r="I17" s="29"/>
      <c r="J17" s="29">
        <v>1</v>
      </c>
      <c r="K17" s="29">
        <v>100</v>
      </c>
      <c r="L17" s="66"/>
      <c r="M17" s="30">
        <v>69</v>
      </c>
      <c r="N17" s="75">
        <v>61</v>
      </c>
      <c r="O17" s="76"/>
      <c r="P17" s="30">
        <v>44</v>
      </c>
      <c r="Q17" s="75">
        <v>84</v>
      </c>
      <c r="R17" s="87"/>
    </row>
    <row r="18" spans="2:20" ht="12" customHeight="1" x14ac:dyDescent="0.25">
      <c r="B18" s="27"/>
      <c r="C18" s="27"/>
      <c r="D18" s="29"/>
      <c r="E18" s="29"/>
      <c r="F18" s="29"/>
      <c r="G18" s="29"/>
      <c r="H18" s="29"/>
      <c r="I18" s="29"/>
      <c r="J18" s="29"/>
      <c r="K18" s="29"/>
      <c r="L18" s="29"/>
      <c r="M18" s="30"/>
      <c r="N18" s="88"/>
      <c r="O18" s="90"/>
      <c r="P18" s="30"/>
      <c r="Q18" s="88"/>
      <c r="R18" s="89"/>
    </row>
    <row r="19" spans="2:20" ht="12" customHeight="1" x14ac:dyDescent="0.25">
      <c r="B19" s="27"/>
      <c r="C19" s="27"/>
      <c r="D19" s="29"/>
      <c r="E19" s="29"/>
      <c r="F19" s="29"/>
      <c r="G19" s="29"/>
      <c r="H19" s="29"/>
      <c r="I19" s="29"/>
      <c r="J19" s="29">
        <v>2</v>
      </c>
      <c r="K19" s="29"/>
      <c r="L19" s="29">
        <v>82</v>
      </c>
      <c r="M19" s="30"/>
      <c r="N19" s="91"/>
      <c r="O19" s="38">
        <v>58</v>
      </c>
      <c r="P19" s="30">
        <v>44</v>
      </c>
      <c r="Q19" s="88"/>
      <c r="R19" s="89"/>
    </row>
    <row r="20" spans="2:20" ht="12" customHeight="1" x14ac:dyDescent="0.25">
      <c r="B20" s="27"/>
      <c r="C20" s="27"/>
      <c r="D20" s="29"/>
      <c r="E20" s="29"/>
      <c r="F20" s="29"/>
      <c r="G20" s="29"/>
      <c r="H20" s="29"/>
      <c r="I20" s="29"/>
      <c r="J20" s="29"/>
      <c r="K20" s="29"/>
      <c r="L20" s="29"/>
      <c r="M20" s="30"/>
      <c r="N20" s="92"/>
      <c r="O20" s="66"/>
      <c r="P20" s="30"/>
      <c r="Q20" s="88"/>
      <c r="R20" s="89"/>
    </row>
    <row r="21" spans="2:20" ht="24" customHeight="1" x14ac:dyDescent="0.25">
      <c r="B21" s="27"/>
      <c r="C21" s="27"/>
      <c r="D21" s="29">
        <v>8</v>
      </c>
      <c r="E21" s="29"/>
      <c r="F21" s="29">
        <v>2</v>
      </c>
      <c r="G21" s="39"/>
      <c r="H21" s="29">
        <v>2</v>
      </c>
      <c r="I21" s="29"/>
      <c r="J21" s="29">
        <v>31</v>
      </c>
      <c r="K21" s="29"/>
      <c r="L21" s="29">
        <v>95</v>
      </c>
      <c r="M21" s="29"/>
      <c r="N21" s="78">
        <v>255</v>
      </c>
      <c r="O21" s="79"/>
      <c r="P21" s="7">
        <v>10</v>
      </c>
      <c r="Q21" s="7">
        <v>49</v>
      </c>
      <c r="R21" s="27"/>
    </row>
    <row r="22" spans="2:20" ht="24" customHeight="1" x14ac:dyDescent="0.25">
      <c r="B22" s="27"/>
      <c r="C22" s="27"/>
      <c r="D22" s="27"/>
      <c r="E22" s="27"/>
      <c r="H22" s="38"/>
      <c r="I22" s="38"/>
      <c r="J22" s="38"/>
      <c r="K22" s="38"/>
      <c r="L22" s="38"/>
      <c r="M22" s="38"/>
      <c r="N22" s="80"/>
      <c r="O22" s="81"/>
      <c r="P22" s="9">
        <v>32</v>
      </c>
      <c r="Q22" s="9">
        <v>18</v>
      </c>
      <c r="R22" s="27"/>
    </row>
    <row r="23" spans="2:20" ht="24" customHeight="1" x14ac:dyDescent="0.25">
      <c r="B23" s="27"/>
      <c r="C23" s="27"/>
      <c r="D23" s="27"/>
      <c r="E23" s="27"/>
      <c r="F23" s="27"/>
      <c r="G23" s="29">
        <v>8</v>
      </c>
      <c r="H23" s="29">
        <v>3</v>
      </c>
      <c r="I23" s="29"/>
      <c r="J23" s="29">
        <v>3</v>
      </c>
      <c r="K23" s="29"/>
      <c r="L23" s="29">
        <v>11</v>
      </c>
      <c r="M23" s="29"/>
      <c r="N23" s="78">
        <v>6</v>
      </c>
      <c r="O23" s="79"/>
      <c r="P23" s="22">
        <v>80</v>
      </c>
      <c r="Q23" s="22">
        <v>160</v>
      </c>
      <c r="R23" s="22"/>
      <c r="S23" s="22">
        <v>88</v>
      </c>
      <c r="T23" s="28">
        <v>159</v>
      </c>
    </row>
    <row r="24" spans="2:20" ht="24" customHeight="1" x14ac:dyDescent="0.25">
      <c r="B24" s="27"/>
      <c r="C24" s="27"/>
      <c r="D24" s="27"/>
      <c r="E24" s="27"/>
      <c r="F24" s="27"/>
      <c r="G24" s="29"/>
      <c r="H24" s="29"/>
      <c r="I24" s="29"/>
      <c r="J24" s="29"/>
      <c r="K24" s="29"/>
      <c r="L24" s="29"/>
      <c r="M24" s="29"/>
      <c r="N24" s="80"/>
      <c r="O24" s="81"/>
      <c r="P24" s="22"/>
      <c r="Q24" s="22"/>
      <c r="R24" s="22"/>
      <c r="S24" s="22"/>
      <c r="T24" s="25"/>
    </row>
    <row r="25" spans="2:20" ht="24" customHeight="1" x14ac:dyDescent="0.25">
      <c r="K25" s="5">
        <v>11</v>
      </c>
      <c r="L25" s="29">
        <v>0</v>
      </c>
      <c r="M25" s="29"/>
      <c r="N25" s="39">
        <v>0</v>
      </c>
      <c r="O25" s="82"/>
      <c r="P25" s="10">
        <v>11</v>
      </c>
      <c r="Q25" s="22">
        <v>59</v>
      </c>
      <c r="R25" s="23"/>
      <c r="S25" s="22">
        <v>279</v>
      </c>
      <c r="T25" s="22"/>
    </row>
    <row r="26" spans="2:20" ht="24" customHeight="1" x14ac:dyDescent="0.25">
      <c r="Q26" s="22"/>
      <c r="R26" s="23"/>
      <c r="S26" s="22"/>
      <c r="T26" s="22"/>
    </row>
    <row r="27" spans="2:20" x14ac:dyDescent="0.25">
      <c r="S27" s="22"/>
      <c r="T27" s="22"/>
    </row>
    <row r="28" spans="2:20" x14ac:dyDescent="0.25">
      <c r="S28" s="22"/>
      <c r="T28" s="22"/>
    </row>
    <row r="29" spans="2:20" x14ac:dyDescent="0.25">
      <c r="S29" s="22"/>
      <c r="T29" s="22"/>
    </row>
    <row r="30" spans="2:20" x14ac:dyDescent="0.25">
      <c r="S30" s="22"/>
      <c r="T30" s="22"/>
    </row>
    <row r="31" spans="2:20" x14ac:dyDescent="0.25">
      <c r="S31" s="22"/>
      <c r="T31" s="22"/>
    </row>
  </sheetData>
  <mergeCells count="145">
    <mergeCell ref="T23:T24"/>
    <mergeCell ref="N25:O25"/>
    <mergeCell ref="N19:N20"/>
    <mergeCell ref="U12:U13"/>
    <mergeCell ref="X12:X13"/>
    <mergeCell ref="V12:V13"/>
    <mergeCell ref="AB12:AB13"/>
    <mergeCell ref="AC12:AC13"/>
    <mergeCell ref="AD12:AD13"/>
    <mergeCell ref="U15:U16"/>
    <mergeCell ref="X15:X16"/>
    <mergeCell ref="V15:V16"/>
    <mergeCell ref="AB15:AB16"/>
    <mergeCell ref="AC15:AC16"/>
    <mergeCell ref="AD15:AD16"/>
    <mergeCell ref="W12:W13"/>
    <mergeCell ref="W15:W16"/>
    <mergeCell ref="Y12:Y13"/>
    <mergeCell ref="Z12:Z13"/>
    <mergeCell ref="AA12:AA13"/>
    <mergeCell ref="Y15:Y16"/>
    <mergeCell ref="Z15:Z16"/>
    <mergeCell ref="AA15:AA16"/>
    <mergeCell ref="AA8:AA11"/>
    <mergeCell ref="H8:I11"/>
    <mergeCell ref="L5:O5"/>
    <mergeCell ref="N6:O6"/>
    <mergeCell ref="N7:O7"/>
    <mergeCell ref="N8:O11"/>
    <mergeCell ref="W8:W11"/>
    <mergeCell ref="Y8:Y11"/>
    <mergeCell ref="Z8:Z11"/>
    <mergeCell ref="AB2:AD2"/>
    <mergeCell ref="Y2:AA2"/>
    <mergeCell ref="L7:M7"/>
    <mergeCell ref="Q7:R7"/>
    <mergeCell ref="D6:E6"/>
    <mergeCell ref="F6:G6"/>
    <mergeCell ref="H6:I6"/>
    <mergeCell ref="J6:K6"/>
    <mergeCell ref="L6:M6"/>
    <mergeCell ref="Q6:R6"/>
    <mergeCell ref="B4:R4"/>
    <mergeCell ref="B5:E5"/>
    <mergeCell ref="F5:G5"/>
    <mergeCell ref="H5:I5"/>
    <mergeCell ref="J5:K5"/>
    <mergeCell ref="Q5:R5"/>
    <mergeCell ref="B8:B11"/>
    <mergeCell ref="C8:C11"/>
    <mergeCell ref="D8:E9"/>
    <mergeCell ref="F8:G11"/>
    <mergeCell ref="J8:K11"/>
    <mergeCell ref="D7:E7"/>
    <mergeCell ref="F7:G7"/>
    <mergeCell ref="H7:I7"/>
    <mergeCell ref="J7:K7"/>
    <mergeCell ref="X8:X11"/>
    <mergeCell ref="V8:V11"/>
    <mergeCell ref="AB8:AB11"/>
    <mergeCell ref="AC8:AC11"/>
    <mergeCell ref="D10:D11"/>
    <mergeCell ref="E10:E11"/>
    <mergeCell ref="L8:M11"/>
    <mergeCell ref="P8:P11"/>
    <mergeCell ref="Q8:R11"/>
    <mergeCell ref="S8:S11"/>
    <mergeCell ref="U8:U11"/>
    <mergeCell ref="P12:P13"/>
    <mergeCell ref="S12:S13"/>
    <mergeCell ref="B12:B13"/>
    <mergeCell ref="C12:C16"/>
    <mergeCell ref="D12:D13"/>
    <mergeCell ref="E12:E13"/>
    <mergeCell ref="F12:G12"/>
    <mergeCell ref="H12:I12"/>
    <mergeCell ref="F13:G13"/>
    <mergeCell ref="H13:I13"/>
    <mergeCell ref="D14:E14"/>
    <mergeCell ref="F14:G14"/>
    <mergeCell ref="Q13:R13"/>
    <mergeCell ref="N12:O13"/>
    <mergeCell ref="N14:O14"/>
    <mergeCell ref="N15:O15"/>
    <mergeCell ref="N16:O16"/>
    <mergeCell ref="H14:I14"/>
    <mergeCell ref="J14:K14"/>
    <mergeCell ref="L14:M14"/>
    <mergeCell ref="Q14:R14"/>
    <mergeCell ref="B15:B16"/>
    <mergeCell ref="D15:E15"/>
    <mergeCell ref="F15:G15"/>
    <mergeCell ref="H15:I15"/>
    <mergeCell ref="J15:K15"/>
    <mergeCell ref="L15:M15"/>
    <mergeCell ref="B17:B20"/>
    <mergeCell ref="C17:C20"/>
    <mergeCell ref="D17:E20"/>
    <mergeCell ref="F17:G20"/>
    <mergeCell ref="H17:I20"/>
    <mergeCell ref="J17:J18"/>
    <mergeCell ref="Q15:R15"/>
    <mergeCell ref="S15:S16"/>
    <mergeCell ref="D16:E16"/>
    <mergeCell ref="F16:G16"/>
    <mergeCell ref="H16:I16"/>
    <mergeCell ref="Q16:R16"/>
    <mergeCell ref="O19:O20"/>
    <mergeCell ref="N17:O18"/>
    <mergeCell ref="Q17:R20"/>
    <mergeCell ref="B23:B24"/>
    <mergeCell ref="C23:C24"/>
    <mergeCell ref="D23:E24"/>
    <mergeCell ref="F23:F24"/>
    <mergeCell ref="G23:G24"/>
    <mergeCell ref="H23:I24"/>
    <mergeCell ref="L21:M22"/>
    <mergeCell ref="D22:E22"/>
    <mergeCell ref="B21:B22"/>
    <mergeCell ref="C21:C22"/>
    <mergeCell ref="D21:E21"/>
    <mergeCell ref="F21:G21"/>
    <mergeCell ref="H21:I22"/>
    <mergeCell ref="J21:K22"/>
    <mergeCell ref="N21:O22"/>
    <mergeCell ref="N23:O24"/>
    <mergeCell ref="L25:M25"/>
    <mergeCell ref="Q25:R26"/>
    <mergeCell ref="S25:T31"/>
    <mergeCell ref="AD8:AD11"/>
    <mergeCell ref="J23:K24"/>
    <mergeCell ref="L23:M24"/>
    <mergeCell ref="P23:P24"/>
    <mergeCell ref="Q23:R24"/>
    <mergeCell ref="S23:S24"/>
    <mergeCell ref="R21:R22"/>
    <mergeCell ref="J19:J20"/>
    <mergeCell ref="L19:L20"/>
    <mergeCell ref="P19:P20"/>
    <mergeCell ref="K17:K20"/>
    <mergeCell ref="L17:L18"/>
    <mergeCell ref="M17:M20"/>
    <mergeCell ref="P17:P18"/>
    <mergeCell ref="J12:K13"/>
    <mergeCell ref="L12:M13"/>
  </mergeCells>
  <pageMargins left="0.7" right="0.7" top="0.75" bottom="0.75" header="0.3" footer="0.3"/>
  <pageSetup scale="61" fitToHeight="0" orientation="landscape" horizontalDpi="4294967293" verticalDpi="4294967293" r:id="rId1"/>
  <cellWatches>
    <cellWatch r="X4"/>
    <cellWatch r="X5"/>
    <cellWatch r="X6"/>
    <cellWatch r="X7"/>
    <cellWatch r="X8"/>
  </cellWatch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2:Y31"/>
  <sheetViews>
    <sheetView tabSelected="1" topLeftCell="A4" workbookViewId="0">
      <selection activeCell="AA13" sqref="AA13"/>
    </sheetView>
  </sheetViews>
  <sheetFormatPr defaultRowHeight="15" x14ac:dyDescent="0.25"/>
  <cols>
    <col min="1" max="1" width="3.28515625" style="2" customWidth="1"/>
    <col min="2" max="3" width="9.140625" style="2"/>
    <col min="4" max="13" width="4.5703125" style="2" customWidth="1"/>
    <col min="14" max="14" width="9.140625" style="2" customWidth="1"/>
    <col min="15" max="15" width="9.140625" style="2"/>
    <col min="16" max="17" width="4.5703125" style="2" customWidth="1"/>
    <col min="18" max="19" width="9.140625" style="2"/>
    <col min="20" max="25" width="15" style="2" customWidth="1"/>
    <col min="26" max="26" width="5.140625" style="2" customWidth="1"/>
    <col min="27" max="16384" width="9.140625" style="2"/>
  </cols>
  <sheetData>
    <row r="2" spans="2:25" ht="36" x14ac:dyDescent="0.25">
      <c r="B2" s="18" t="s">
        <v>20</v>
      </c>
      <c r="T2" s="43" t="s">
        <v>11</v>
      </c>
      <c r="U2" s="43"/>
      <c r="V2" s="43"/>
      <c r="W2" s="43"/>
      <c r="X2" s="43"/>
      <c r="Y2" s="43"/>
    </row>
    <row r="3" spans="2:25" x14ac:dyDescent="0.25">
      <c r="T3" s="14" t="s">
        <v>5</v>
      </c>
      <c r="U3" s="14" t="s">
        <v>6</v>
      </c>
      <c r="V3" s="14" t="s">
        <v>7</v>
      </c>
      <c r="W3" s="14" t="s">
        <v>9</v>
      </c>
      <c r="X3" s="14" t="s">
        <v>8</v>
      </c>
      <c r="Y3" s="16" t="s">
        <v>10</v>
      </c>
    </row>
    <row r="4" spans="2:25" ht="48" customHeight="1" x14ac:dyDescent="0.25">
      <c r="B4" s="35">
        <v>1697</v>
      </c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7"/>
      <c r="T4" s="13" t="s">
        <v>0</v>
      </c>
      <c r="U4" s="12">
        <f>SumByColor(T4,$B$4:$S$31)</f>
        <v>2099</v>
      </c>
      <c r="V4" s="12">
        <v>1800</v>
      </c>
      <c r="W4" s="12" t="str">
        <f>IF(V4-U4&gt;0,V4-U4, "")</f>
        <v/>
      </c>
      <c r="X4" s="12">
        <f>IF(U4-V4&gt;0,U4-V4,"")</f>
        <v>299</v>
      </c>
      <c r="Y4" s="17">
        <f>IFERROR(X4/V4,"")</f>
        <v>0.1661111111111111</v>
      </c>
    </row>
    <row r="5" spans="2:25" ht="48" customHeight="1" x14ac:dyDescent="0.25">
      <c r="B5" s="35"/>
      <c r="C5" s="36"/>
      <c r="D5" s="36"/>
      <c r="E5" s="37"/>
      <c r="F5" s="34">
        <v>12</v>
      </c>
      <c r="G5" s="34"/>
      <c r="H5" s="34"/>
      <c r="I5" s="34"/>
      <c r="J5" s="34">
        <v>120</v>
      </c>
      <c r="K5" s="34"/>
      <c r="L5" s="35"/>
      <c r="M5" s="36"/>
      <c r="N5" s="37"/>
      <c r="O5" s="3">
        <v>63</v>
      </c>
      <c r="P5" s="34"/>
      <c r="Q5" s="34"/>
      <c r="T5" s="3" t="s">
        <v>1</v>
      </c>
      <c r="U5" s="12">
        <f>SumByColor(T5,$B$4:$S$31)</f>
        <v>2025</v>
      </c>
      <c r="V5" s="12">
        <v>1800</v>
      </c>
      <c r="W5" s="12" t="str">
        <f t="shared" ref="W5:W7" si="0">IF(V5-U5&gt;0,V5-U5, "")</f>
        <v/>
      </c>
      <c r="X5" s="12">
        <f>IF(U5-V5&gt;0,U5-V5,"")</f>
        <v>225</v>
      </c>
      <c r="Y5" s="17">
        <f>IFERROR(X5/V5,"")</f>
        <v>0.125</v>
      </c>
    </row>
    <row r="6" spans="2:25" ht="48" customHeight="1" x14ac:dyDescent="0.25">
      <c r="B6" s="3">
        <v>51</v>
      </c>
      <c r="C6" s="3">
        <v>27</v>
      </c>
      <c r="D6" s="32">
        <v>1</v>
      </c>
      <c r="E6" s="32"/>
      <c r="F6" s="32">
        <v>14</v>
      </c>
      <c r="G6" s="32"/>
      <c r="H6" s="32">
        <v>21</v>
      </c>
      <c r="I6" s="32"/>
      <c r="J6" s="32">
        <v>27</v>
      </c>
      <c r="K6" s="32"/>
      <c r="L6" s="32">
        <v>73</v>
      </c>
      <c r="M6" s="32"/>
      <c r="N6" s="4">
        <v>32</v>
      </c>
      <c r="O6" s="3"/>
      <c r="P6" s="34"/>
      <c r="Q6" s="34"/>
      <c r="R6" s="3">
        <v>55</v>
      </c>
      <c r="T6" s="6" t="s">
        <v>2</v>
      </c>
      <c r="U6" s="12">
        <f>SumByColor(T6,$B$4:$S$31)</f>
        <v>2584</v>
      </c>
      <c r="V6" s="12">
        <v>2400</v>
      </c>
      <c r="W6" s="12" t="str">
        <f t="shared" si="0"/>
        <v/>
      </c>
      <c r="X6" s="12">
        <f>IF(U6-V6&gt;0,U6-V6,"")</f>
        <v>184</v>
      </c>
      <c r="Y6" s="17">
        <f>IFERROR(X6/V6,"")</f>
        <v>7.6666666666666661E-2</v>
      </c>
    </row>
    <row r="7" spans="2:25" ht="48" customHeight="1" x14ac:dyDescent="0.25">
      <c r="B7" s="6"/>
      <c r="C7" s="6"/>
      <c r="D7" s="29">
        <v>1</v>
      </c>
      <c r="E7" s="29"/>
      <c r="F7" s="29">
        <v>2</v>
      </c>
      <c r="G7" s="29"/>
      <c r="H7" s="32">
        <v>377</v>
      </c>
      <c r="I7" s="32"/>
      <c r="J7" s="32">
        <v>296</v>
      </c>
      <c r="K7" s="32"/>
      <c r="L7" s="32">
        <v>165</v>
      </c>
      <c r="M7" s="32"/>
      <c r="N7" s="4">
        <v>298</v>
      </c>
      <c r="O7" s="7">
        <v>249</v>
      </c>
      <c r="P7" s="30">
        <v>121</v>
      </c>
      <c r="Q7" s="30"/>
      <c r="R7" s="7">
        <v>96</v>
      </c>
      <c r="T7" s="8" t="s">
        <v>3</v>
      </c>
      <c r="U7" s="12">
        <f>SumByColor(T7,$B$4:$S$31)</f>
        <v>2239</v>
      </c>
      <c r="V7" s="12">
        <v>1900</v>
      </c>
      <c r="W7" s="12" t="str">
        <f t="shared" si="0"/>
        <v/>
      </c>
      <c r="X7" s="12">
        <f>IF(U7-V7&gt;0,U7-V7,"")</f>
        <v>339</v>
      </c>
      <c r="Y7" s="17">
        <f>IFERROR(X7/V7,"")</f>
        <v>0.17842105263157895</v>
      </c>
    </row>
    <row r="8" spans="2:25" ht="12" customHeight="1" x14ac:dyDescent="0.25">
      <c r="B8" s="29"/>
      <c r="C8" s="29"/>
      <c r="D8" s="29">
        <v>11</v>
      </c>
      <c r="E8" s="29"/>
      <c r="F8" s="29">
        <v>6</v>
      </c>
      <c r="G8" s="29"/>
      <c r="H8" s="32">
        <v>229</v>
      </c>
      <c r="I8" s="32"/>
      <c r="J8" s="32">
        <v>244</v>
      </c>
      <c r="K8" s="32"/>
      <c r="L8" s="32">
        <v>425</v>
      </c>
      <c r="M8" s="32"/>
      <c r="N8" s="32">
        <v>213</v>
      </c>
      <c r="O8" s="30">
        <v>231</v>
      </c>
      <c r="P8" s="30">
        <v>332</v>
      </c>
      <c r="Q8" s="30"/>
      <c r="R8" s="30">
        <v>260</v>
      </c>
      <c r="T8" s="32" t="s">
        <v>4</v>
      </c>
      <c r="U8" s="33">
        <f>SumByColor(T8,$B$4:$S$31)</f>
        <v>2415</v>
      </c>
      <c r="V8" s="33">
        <v>1800</v>
      </c>
      <c r="W8" s="40" t="str">
        <f>IF(V8-U8&gt;0,V8-U8,"")</f>
        <v/>
      </c>
      <c r="X8" s="33">
        <f>IF(U8-V8&gt;0,U8-V8,"")</f>
        <v>615</v>
      </c>
      <c r="Y8" s="19">
        <f>IFERROR(X8/V8,"")</f>
        <v>0.34166666666666667</v>
      </c>
    </row>
    <row r="9" spans="2:25" ht="12" customHeight="1" x14ac:dyDescent="0.25">
      <c r="B9" s="29"/>
      <c r="C9" s="29"/>
      <c r="D9" s="29"/>
      <c r="E9" s="29"/>
      <c r="F9" s="29"/>
      <c r="G9" s="29"/>
      <c r="H9" s="32"/>
      <c r="I9" s="32"/>
      <c r="J9" s="32"/>
      <c r="K9" s="32"/>
      <c r="L9" s="32"/>
      <c r="M9" s="32"/>
      <c r="N9" s="32"/>
      <c r="O9" s="30"/>
      <c r="P9" s="30"/>
      <c r="Q9" s="30"/>
      <c r="R9" s="30"/>
      <c r="T9" s="32"/>
      <c r="U9" s="33"/>
      <c r="V9" s="33"/>
      <c r="W9" s="41"/>
      <c r="X9" s="33"/>
      <c r="Y9" s="20"/>
    </row>
    <row r="10" spans="2:25" ht="12" customHeight="1" x14ac:dyDescent="0.25">
      <c r="B10" s="29"/>
      <c r="C10" s="29"/>
      <c r="D10" s="29"/>
      <c r="E10" s="29">
        <v>34</v>
      </c>
      <c r="F10" s="29"/>
      <c r="G10" s="29"/>
      <c r="H10" s="32"/>
      <c r="I10" s="32"/>
      <c r="J10" s="32"/>
      <c r="K10" s="32"/>
      <c r="L10" s="32"/>
      <c r="M10" s="32"/>
      <c r="N10" s="32"/>
      <c r="O10" s="30"/>
      <c r="P10" s="30"/>
      <c r="Q10" s="30"/>
      <c r="R10" s="30"/>
      <c r="T10" s="32"/>
      <c r="U10" s="33"/>
      <c r="V10" s="33"/>
      <c r="W10" s="41"/>
      <c r="X10" s="33"/>
      <c r="Y10" s="20"/>
    </row>
    <row r="11" spans="2:25" ht="12" customHeight="1" x14ac:dyDescent="0.25">
      <c r="B11" s="29"/>
      <c r="C11" s="29"/>
      <c r="D11" s="29"/>
      <c r="E11" s="29"/>
      <c r="F11" s="29"/>
      <c r="G11" s="29"/>
      <c r="H11" s="29">
        <v>17</v>
      </c>
      <c r="I11" s="29"/>
      <c r="J11" s="32"/>
      <c r="K11" s="32"/>
      <c r="L11" s="32"/>
      <c r="M11" s="32"/>
      <c r="N11" s="32"/>
      <c r="O11" s="30"/>
      <c r="P11" s="30"/>
      <c r="Q11" s="30"/>
      <c r="R11" s="30"/>
      <c r="T11" s="32"/>
      <c r="U11" s="33"/>
      <c r="V11" s="33"/>
      <c r="W11" s="42"/>
      <c r="X11" s="33"/>
      <c r="Y11" s="21"/>
    </row>
    <row r="12" spans="2:25" ht="24" customHeight="1" x14ac:dyDescent="0.25">
      <c r="B12" s="27"/>
      <c r="C12" s="29">
        <v>2</v>
      </c>
      <c r="D12" s="29"/>
      <c r="E12" s="29">
        <v>91</v>
      </c>
      <c r="F12" s="29">
        <v>122</v>
      </c>
      <c r="G12" s="29"/>
      <c r="H12" s="29">
        <v>84</v>
      </c>
      <c r="I12" s="29"/>
      <c r="J12" s="29">
        <v>187</v>
      </c>
      <c r="K12" s="29"/>
      <c r="L12" s="29">
        <v>251</v>
      </c>
      <c r="M12" s="29"/>
      <c r="N12" s="30">
        <v>172</v>
      </c>
      <c r="O12" s="30">
        <v>168</v>
      </c>
      <c r="P12" s="30">
        <v>189</v>
      </c>
      <c r="Q12" s="30"/>
      <c r="R12" s="31">
        <v>94</v>
      </c>
      <c r="T12" s="15"/>
      <c r="U12" s="15"/>
    </row>
    <row r="13" spans="2:25" ht="24" customHeight="1" x14ac:dyDescent="0.25">
      <c r="B13" s="27"/>
      <c r="C13" s="29"/>
      <c r="D13" s="29"/>
      <c r="E13" s="29"/>
      <c r="F13" s="29">
        <v>55</v>
      </c>
      <c r="G13" s="29"/>
      <c r="H13" s="29">
        <v>202</v>
      </c>
      <c r="I13" s="29"/>
      <c r="J13" s="29"/>
      <c r="K13" s="29"/>
      <c r="L13" s="29"/>
      <c r="M13" s="29"/>
      <c r="N13" s="30"/>
      <c r="O13" s="30"/>
      <c r="P13" s="30"/>
      <c r="Q13" s="30"/>
      <c r="R13" s="31"/>
      <c r="T13" s="15"/>
      <c r="U13" s="15"/>
    </row>
    <row r="14" spans="2:25" ht="48" customHeight="1" x14ac:dyDescent="0.25">
      <c r="C14" s="29"/>
      <c r="D14" s="29">
        <v>14</v>
      </c>
      <c r="E14" s="29"/>
      <c r="F14" s="29">
        <v>181</v>
      </c>
      <c r="G14" s="29"/>
      <c r="H14" s="29">
        <v>99</v>
      </c>
      <c r="I14" s="29"/>
      <c r="J14" s="29">
        <v>180</v>
      </c>
      <c r="K14" s="29"/>
      <c r="L14" s="29">
        <v>113</v>
      </c>
      <c r="M14" s="29"/>
      <c r="N14" s="7">
        <v>4</v>
      </c>
      <c r="O14" s="7">
        <v>70</v>
      </c>
      <c r="P14" s="30">
        <v>113</v>
      </c>
      <c r="Q14" s="30"/>
    </row>
    <row r="15" spans="2:25" ht="24" customHeight="1" x14ac:dyDescent="0.25">
      <c r="B15" s="27"/>
      <c r="C15" s="29"/>
      <c r="D15" s="29">
        <v>1</v>
      </c>
      <c r="E15" s="29"/>
      <c r="F15" s="29">
        <v>0</v>
      </c>
      <c r="G15" s="29"/>
      <c r="H15" s="29">
        <v>39</v>
      </c>
      <c r="I15" s="29"/>
      <c r="J15" s="29">
        <v>163</v>
      </c>
      <c r="K15" s="29"/>
      <c r="L15" s="29">
        <v>0</v>
      </c>
      <c r="M15" s="29"/>
      <c r="N15" s="8">
        <v>115</v>
      </c>
      <c r="O15" s="8">
        <v>39</v>
      </c>
      <c r="P15" s="22">
        <v>69</v>
      </c>
      <c r="Q15" s="22"/>
      <c r="R15" s="27"/>
    </row>
    <row r="16" spans="2:25" ht="24" customHeight="1" x14ac:dyDescent="0.25">
      <c r="B16" s="27"/>
      <c r="C16" s="29"/>
      <c r="D16" s="29">
        <v>5</v>
      </c>
      <c r="E16" s="29"/>
      <c r="F16" s="29">
        <v>1</v>
      </c>
      <c r="G16" s="29"/>
      <c r="H16" s="29"/>
      <c r="I16" s="29"/>
      <c r="J16" s="6"/>
      <c r="K16" s="6"/>
      <c r="L16" s="6"/>
      <c r="M16" s="6"/>
      <c r="N16" s="8"/>
      <c r="O16" s="8">
        <v>24</v>
      </c>
      <c r="P16" s="22">
        <v>38</v>
      </c>
      <c r="Q16" s="22"/>
      <c r="R16" s="27"/>
    </row>
    <row r="17" spans="2:19" ht="12" customHeight="1" x14ac:dyDescent="0.25">
      <c r="B17" s="27"/>
      <c r="C17" s="27"/>
      <c r="D17" s="29">
        <v>15</v>
      </c>
      <c r="E17" s="29"/>
      <c r="F17" s="29">
        <v>17</v>
      </c>
      <c r="G17" s="29"/>
      <c r="H17" s="29">
        <v>5</v>
      </c>
      <c r="I17" s="29"/>
      <c r="J17" s="29">
        <v>1</v>
      </c>
      <c r="K17" s="29">
        <v>117</v>
      </c>
      <c r="L17" s="29"/>
      <c r="M17" s="22">
        <v>131</v>
      </c>
      <c r="N17" s="22">
        <v>177</v>
      </c>
      <c r="O17" s="22">
        <v>51</v>
      </c>
      <c r="P17" s="24">
        <v>115</v>
      </c>
      <c r="Q17" s="26"/>
    </row>
    <row r="18" spans="2:19" ht="12" customHeight="1" x14ac:dyDescent="0.25">
      <c r="B18" s="27"/>
      <c r="C18" s="27"/>
      <c r="D18" s="29"/>
      <c r="E18" s="29"/>
      <c r="F18" s="29"/>
      <c r="G18" s="29"/>
      <c r="H18" s="29"/>
      <c r="I18" s="29"/>
      <c r="J18" s="29"/>
      <c r="K18" s="29"/>
      <c r="L18" s="29"/>
      <c r="M18" s="22"/>
      <c r="N18" s="22"/>
      <c r="O18" s="22"/>
      <c r="P18" s="24"/>
      <c r="Q18" s="26"/>
    </row>
    <row r="19" spans="2:19" ht="12" customHeight="1" x14ac:dyDescent="0.25">
      <c r="B19" s="27"/>
      <c r="C19" s="27"/>
      <c r="D19" s="29"/>
      <c r="E19" s="29"/>
      <c r="F19" s="29"/>
      <c r="G19" s="29"/>
      <c r="H19" s="29"/>
      <c r="I19" s="29"/>
      <c r="J19" s="29"/>
      <c r="K19" s="29"/>
      <c r="L19" s="29">
        <v>64</v>
      </c>
      <c r="M19" s="22"/>
      <c r="N19" s="22"/>
      <c r="O19" s="22">
        <v>53</v>
      </c>
      <c r="P19" s="24"/>
      <c r="Q19" s="26"/>
    </row>
    <row r="20" spans="2:19" ht="12" customHeight="1" x14ac:dyDescent="0.25">
      <c r="B20" s="27"/>
      <c r="C20" s="27"/>
      <c r="D20" s="29"/>
      <c r="E20" s="29"/>
      <c r="F20" s="29"/>
      <c r="G20" s="29"/>
      <c r="H20" s="29"/>
      <c r="I20" s="29"/>
      <c r="J20" s="29"/>
      <c r="K20" s="29"/>
      <c r="L20" s="29"/>
      <c r="M20" s="22"/>
      <c r="N20" s="22"/>
      <c r="O20" s="22"/>
      <c r="P20" s="25"/>
      <c r="Q20" s="26"/>
    </row>
    <row r="21" spans="2:19" ht="24" customHeight="1" x14ac:dyDescent="0.25">
      <c r="B21" s="27"/>
      <c r="C21" s="27"/>
      <c r="D21" s="29">
        <v>9</v>
      </c>
      <c r="E21" s="29"/>
      <c r="F21" s="29">
        <v>5</v>
      </c>
      <c r="G21" s="39"/>
      <c r="H21" s="29">
        <v>2</v>
      </c>
      <c r="I21" s="29"/>
      <c r="J21" s="29">
        <v>38</v>
      </c>
      <c r="K21" s="29"/>
      <c r="L21" s="29">
        <v>112</v>
      </c>
      <c r="M21" s="29"/>
      <c r="N21" s="29">
        <v>269</v>
      </c>
      <c r="O21" s="22">
        <v>47</v>
      </c>
      <c r="P21" s="22">
        <v>96</v>
      </c>
      <c r="Q21" s="27"/>
    </row>
    <row r="22" spans="2:19" ht="24" customHeight="1" x14ac:dyDescent="0.25">
      <c r="B22" s="27"/>
      <c r="C22" s="27"/>
      <c r="D22" s="27"/>
      <c r="E22" s="27"/>
      <c r="H22" s="38"/>
      <c r="I22" s="38"/>
      <c r="J22" s="38"/>
      <c r="K22" s="38"/>
      <c r="L22" s="38"/>
      <c r="M22" s="38"/>
      <c r="N22" s="38"/>
      <c r="O22" s="28"/>
      <c r="P22" s="28"/>
      <c r="Q22" s="27"/>
    </row>
    <row r="23" spans="2:19" ht="24" customHeight="1" x14ac:dyDescent="0.25">
      <c r="B23" s="27"/>
      <c r="C23" s="27"/>
      <c r="D23" s="27"/>
      <c r="E23" s="27"/>
      <c r="F23" s="27"/>
      <c r="G23" s="29">
        <v>13</v>
      </c>
      <c r="H23" s="29">
        <v>11</v>
      </c>
      <c r="I23" s="29"/>
      <c r="J23" s="29">
        <v>2</v>
      </c>
      <c r="K23" s="29"/>
      <c r="L23" s="29">
        <v>16</v>
      </c>
      <c r="M23" s="29"/>
      <c r="N23" s="29">
        <v>15</v>
      </c>
      <c r="O23" s="22">
        <v>214</v>
      </c>
      <c r="P23" s="22">
        <v>174</v>
      </c>
      <c r="Q23" s="22"/>
      <c r="R23" s="22">
        <v>97</v>
      </c>
      <c r="S23" s="8">
        <v>75</v>
      </c>
    </row>
    <row r="24" spans="2:19" ht="24" customHeight="1" x14ac:dyDescent="0.25">
      <c r="B24" s="27"/>
      <c r="C24" s="27"/>
      <c r="D24" s="27"/>
      <c r="E24" s="27"/>
      <c r="F24" s="27"/>
      <c r="G24" s="29"/>
      <c r="H24" s="29"/>
      <c r="I24" s="29"/>
      <c r="J24" s="29"/>
      <c r="K24" s="29"/>
      <c r="L24" s="29"/>
      <c r="M24" s="29"/>
      <c r="N24" s="29"/>
      <c r="O24" s="22"/>
      <c r="P24" s="22"/>
      <c r="Q24" s="22"/>
      <c r="R24" s="22"/>
      <c r="S24" s="8">
        <v>173</v>
      </c>
    </row>
    <row r="25" spans="2:19" ht="24" customHeight="1" x14ac:dyDescent="0.25">
      <c r="K25" s="6">
        <v>11</v>
      </c>
      <c r="L25" s="29"/>
      <c r="M25" s="29"/>
      <c r="N25" s="6">
        <v>1</v>
      </c>
      <c r="O25" s="10">
        <v>20</v>
      </c>
      <c r="P25" s="22">
        <v>81</v>
      </c>
      <c r="Q25" s="23"/>
      <c r="R25" s="22">
        <v>450</v>
      </c>
      <c r="S25" s="22"/>
    </row>
    <row r="26" spans="2:19" ht="24" customHeight="1" x14ac:dyDescent="0.25">
      <c r="P26" s="22"/>
      <c r="Q26" s="23"/>
      <c r="R26" s="22"/>
      <c r="S26" s="22"/>
    </row>
    <row r="27" spans="2:19" x14ac:dyDescent="0.25">
      <c r="R27" s="22"/>
      <c r="S27" s="22"/>
    </row>
    <row r="28" spans="2:19" x14ac:dyDescent="0.25">
      <c r="R28" s="22"/>
      <c r="S28" s="22"/>
    </row>
    <row r="29" spans="2:19" x14ac:dyDescent="0.25">
      <c r="R29" s="22"/>
      <c r="S29" s="22"/>
    </row>
    <row r="30" spans="2:19" x14ac:dyDescent="0.25">
      <c r="R30" s="22"/>
      <c r="S30" s="22"/>
    </row>
    <row r="31" spans="2:19" x14ac:dyDescent="0.25">
      <c r="R31" s="22"/>
      <c r="S31" s="22"/>
    </row>
  </sheetData>
  <mergeCells count="115">
    <mergeCell ref="L25:M25"/>
    <mergeCell ref="P25:Q26"/>
    <mergeCell ref="R25:S31"/>
    <mergeCell ref="J23:K24"/>
    <mergeCell ref="L23:M24"/>
    <mergeCell ref="N23:N24"/>
    <mergeCell ref="O23:O24"/>
    <mergeCell ref="P23:Q24"/>
    <mergeCell ref="R23:R24"/>
    <mergeCell ref="B23:B24"/>
    <mergeCell ref="C23:C24"/>
    <mergeCell ref="D23:E24"/>
    <mergeCell ref="F23:F24"/>
    <mergeCell ref="G23:G24"/>
    <mergeCell ref="H23:I24"/>
    <mergeCell ref="L21:M22"/>
    <mergeCell ref="N21:N22"/>
    <mergeCell ref="O21:O22"/>
    <mergeCell ref="P21:P22"/>
    <mergeCell ref="Q21:Q22"/>
    <mergeCell ref="D22:E22"/>
    <mergeCell ref="Q17:Q20"/>
    <mergeCell ref="J19:J20"/>
    <mergeCell ref="L19:L20"/>
    <mergeCell ref="O19:O20"/>
    <mergeCell ref="B21:B22"/>
    <mergeCell ref="C21:C22"/>
    <mergeCell ref="D21:E21"/>
    <mergeCell ref="F21:G21"/>
    <mergeCell ref="H21:I22"/>
    <mergeCell ref="J21:K22"/>
    <mergeCell ref="K17:K20"/>
    <mergeCell ref="L17:L18"/>
    <mergeCell ref="M17:M20"/>
    <mergeCell ref="N17:N20"/>
    <mergeCell ref="O17:O18"/>
    <mergeCell ref="P17:P20"/>
    <mergeCell ref="B17:B20"/>
    <mergeCell ref="C17:C20"/>
    <mergeCell ref="D17:E20"/>
    <mergeCell ref="F17:G20"/>
    <mergeCell ref="H17:I20"/>
    <mergeCell ref="J17:J18"/>
    <mergeCell ref="P15:Q15"/>
    <mergeCell ref="R15:R16"/>
    <mergeCell ref="D16:E16"/>
    <mergeCell ref="F16:G16"/>
    <mergeCell ref="H16:I16"/>
    <mergeCell ref="P16:Q16"/>
    <mergeCell ref="H14:I14"/>
    <mergeCell ref="J14:K14"/>
    <mergeCell ref="L14:M14"/>
    <mergeCell ref="P14:Q14"/>
    <mergeCell ref="B15:B16"/>
    <mergeCell ref="D15:E15"/>
    <mergeCell ref="F15:G15"/>
    <mergeCell ref="H15:I15"/>
    <mergeCell ref="J15:K15"/>
    <mergeCell ref="L15:M15"/>
    <mergeCell ref="J12:K13"/>
    <mergeCell ref="L12:M13"/>
    <mergeCell ref="N12:N13"/>
    <mergeCell ref="O12:O13"/>
    <mergeCell ref="P12:Q13"/>
    <mergeCell ref="R12:R13"/>
    <mergeCell ref="B12:B13"/>
    <mergeCell ref="C12:C16"/>
    <mergeCell ref="D12:D13"/>
    <mergeCell ref="E12:E13"/>
    <mergeCell ref="F12:G12"/>
    <mergeCell ref="H12:I12"/>
    <mergeCell ref="F13:G13"/>
    <mergeCell ref="H13:I13"/>
    <mergeCell ref="D14:E14"/>
    <mergeCell ref="F14:G14"/>
    <mergeCell ref="U8:U11"/>
    <mergeCell ref="V8:V11"/>
    <mergeCell ref="W8:W11"/>
    <mergeCell ref="X8:X11"/>
    <mergeCell ref="Y8:Y11"/>
    <mergeCell ref="D10:D11"/>
    <mergeCell ref="E10:E11"/>
    <mergeCell ref="H11:I11"/>
    <mergeCell ref="L8:M11"/>
    <mergeCell ref="N8:N11"/>
    <mergeCell ref="O8:O11"/>
    <mergeCell ref="P8:Q11"/>
    <mergeCell ref="R8:R11"/>
    <mergeCell ref="T8:T11"/>
    <mergeCell ref="B8:B11"/>
    <mergeCell ref="C8:C11"/>
    <mergeCell ref="D8:E9"/>
    <mergeCell ref="F8:G11"/>
    <mergeCell ref="H8:I10"/>
    <mergeCell ref="J8:K11"/>
    <mergeCell ref="D7:E7"/>
    <mergeCell ref="F7:G7"/>
    <mergeCell ref="H7:I7"/>
    <mergeCell ref="J7:K7"/>
    <mergeCell ref="L7:M7"/>
    <mergeCell ref="P7:Q7"/>
    <mergeCell ref="D6:E6"/>
    <mergeCell ref="F6:G6"/>
    <mergeCell ref="H6:I6"/>
    <mergeCell ref="J6:K6"/>
    <mergeCell ref="L6:M6"/>
    <mergeCell ref="P6:Q6"/>
    <mergeCell ref="T2:Y2"/>
    <mergeCell ref="B4:Q4"/>
    <mergeCell ref="B5:E5"/>
    <mergeCell ref="F5:G5"/>
    <mergeCell ref="H5:I5"/>
    <mergeCell ref="J5:K5"/>
    <mergeCell ref="L5:N5"/>
    <mergeCell ref="P5:Q5"/>
  </mergeCells>
  <pageMargins left="0.7" right="0.7" top="0.75" bottom="0.75" header="0.3" footer="0.3"/>
  <pageSetup scale="61" fitToHeight="0" orientation="landscape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Alternate MS Boundaries</vt:lpstr>
      <vt:lpstr>Alternat High School Boundaries</vt:lpstr>
      <vt:lpstr>'Alternat High School Boundaries'!Print_Area</vt:lpstr>
      <vt:lpstr>'Alternate MS Boundaries'!Print_Area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Riley</dc:creator>
  <cp:lastModifiedBy>Ryan Riley</cp:lastModifiedBy>
  <cp:lastPrinted>2016-01-07T07:49:04Z</cp:lastPrinted>
  <dcterms:created xsi:type="dcterms:W3CDTF">2016-01-07T04:18:05Z</dcterms:created>
  <dcterms:modified xsi:type="dcterms:W3CDTF">2016-01-16T20:46:35Z</dcterms:modified>
</cp:coreProperties>
</file>